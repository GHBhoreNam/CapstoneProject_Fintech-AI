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apstoneProject\"/>
    </mc:Choice>
  </mc:AlternateContent>
  <xr:revisionPtr revIDLastSave="0" documentId="13_ncr:1_{9850DD59-FF93-406D-8647-A44367CC17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rchants" sheetId="1" r:id="rId1"/>
    <sheet name="ledger" sheetId="2" r:id="rId2"/>
    <sheet name="transactions_view" sheetId="3" r:id="rId3"/>
    <sheet name="fee_lookup" sheetId="4" r:id="rId4"/>
    <sheet name="daily_totals" sheetId="5" r:id="rId5"/>
    <sheet name="pivot_summary" sheetId="6" r:id="rId6"/>
    <sheet name="count_vs_unique" sheetId="7" r:id="rId7"/>
    <sheet name="documentation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3" l="1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K2" i="3"/>
  <c r="J2" i="3"/>
  <c r="I2" i="3"/>
  <c r="O548" i="3"/>
  <c r="L548" i="3"/>
  <c r="O547" i="3"/>
  <c r="L547" i="3"/>
  <c r="O546" i="3"/>
  <c r="L546" i="3"/>
  <c r="O545" i="3"/>
  <c r="L545" i="3"/>
  <c r="O544" i="3"/>
  <c r="L544" i="3"/>
  <c r="O543" i="3"/>
  <c r="L543" i="3"/>
  <c r="O542" i="3"/>
  <c r="L542" i="3"/>
  <c r="O541" i="3"/>
  <c r="L541" i="3"/>
  <c r="O540" i="3"/>
  <c r="L540" i="3"/>
  <c r="O539" i="3"/>
  <c r="L539" i="3"/>
  <c r="O538" i="3"/>
  <c r="L538" i="3"/>
  <c r="O537" i="3"/>
  <c r="L537" i="3"/>
  <c r="O536" i="3"/>
  <c r="L536" i="3"/>
  <c r="O535" i="3"/>
  <c r="L535" i="3"/>
  <c r="O534" i="3"/>
  <c r="L534" i="3"/>
  <c r="O533" i="3"/>
  <c r="L533" i="3"/>
  <c r="O532" i="3"/>
  <c r="L532" i="3"/>
  <c r="O531" i="3"/>
  <c r="L531" i="3"/>
  <c r="O530" i="3"/>
  <c r="L530" i="3"/>
  <c r="O529" i="3"/>
  <c r="L529" i="3"/>
  <c r="O528" i="3"/>
  <c r="L528" i="3"/>
  <c r="O527" i="3"/>
  <c r="L527" i="3"/>
  <c r="O526" i="3"/>
  <c r="L526" i="3"/>
  <c r="O525" i="3"/>
  <c r="L525" i="3"/>
  <c r="O524" i="3"/>
  <c r="L524" i="3"/>
  <c r="O523" i="3"/>
  <c r="L523" i="3"/>
  <c r="O522" i="3"/>
  <c r="L522" i="3"/>
  <c r="O521" i="3"/>
  <c r="L521" i="3"/>
  <c r="O520" i="3"/>
  <c r="L520" i="3"/>
  <c r="O519" i="3"/>
  <c r="L519" i="3"/>
  <c r="O518" i="3"/>
  <c r="L518" i="3"/>
  <c r="O517" i="3"/>
  <c r="L517" i="3"/>
  <c r="O516" i="3"/>
  <c r="L516" i="3"/>
  <c r="O515" i="3"/>
  <c r="L515" i="3"/>
  <c r="O514" i="3"/>
  <c r="L514" i="3"/>
  <c r="O513" i="3"/>
  <c r="L513" i="3"/>
  <c r="O512" i="3"/>
  <c r="L512" i="3"/>
  <c r="O511" i="3"/>
  <c r="L511" i="3"/>
  <c r="O510" i="3"/>
  <c r="L510" i="3"/>
  <c r="O509" i="3"/>
  <c r="L509" i="3"/>
  <c r="O508" i="3"/>
  <c r="L508" i="3"/>
  <c r="O507" i="3"/>
  <c r="L507" i="3"/>
  <c r="O506" i="3"/>
  <c r="L506" i="3"/>
  <c r="O505" i="3"/>
  <c r="L505" i="3"/>
  <c r="O504" i="3"/>
  <c r="L504" i="3"/>
  <c r="O503" i="3"/>
  <c r="L503" i="3"/>
  <c r="O502" i="3"/>
  <c r="L502" i="3"/>
  <c r="O501" i="3"/>
  <c r="L501" i="3"/>
  <c r="O500" i="3"/>
  <c r="L500" i="3"/>
  <c r="O499" i="3"/>
  <c r="L499" i="3"/>
  <c r="O498" i="3"/>
  <c r="L498" i="3"/>
  <c r="O497" i="3"/>
  <c r="L497" i="3"/>
  <c r="O496" i="3"/>
  <c r="L496" i="3"/>
  <c r="O495" i="3"/>
  <c r="L495" i="3"/>
  <c r="O494" i="3"/>
  <c r="L494" i="3"/>
  <c r="O493" i="3"/>
  <c r="L493" i="3"/>
  <c r="O492" i="3"/>
  <c r="L492" i="3"/>
  <c r="O491" i="3"/>
  <c r="L491" i="3"/>
  <c r="O490" i="3"/>
  <c r="L490" i="3"/>
  <c r="O489" i="3"/>
  <c r="L489" i="3"/>
  <c r="O488" i="3"/>
  <c r="L488" i="3"/>
  <c r="O487" i="3"/>
  <c r="L487" i="3"/>
  <c r="O486" i="3"/>
  <c r="L486" i="3"/>
  <c r="O485" i="3"/>
  <c r="L485" i="3"/>
  <c r="O484" i="3"/>
  <c r="L484" i="3"/>
  <c r="O483" i="3"/>
  <c r="L483" i="3"/>
  <c r="O482" i="3"/>
  <c r="L482" i="3"/>
  <c r="O481" i="3"/>
  <c r="L481" i="3"/>
  <c r="O480" i="3"/>
  <c r="L480" i="3"/>
  <c r="O479" i="3"/>
  <c r="L479" i="3"/>
  <c r="O478" i="3"/>
  <c r="L478" i="3"/>
  <c r="O477" i="3"/>
  <c r="L477" i="3"/>
  <c r="O476" i="3"/>
  <c r="L476" i="3"/>
  <c r="O475" i="3"/>
  <c r="L475" i="3"/>
  <c r="O474" i="3"/>
  <c r="L474" i="3"/>
  <c r="O473" i="3"/>
  <c r="L473" i="3"/>
  <c r="O472" i="3"/>
  <c r="L472" i="3"/>
  <c r="O471" i="3"/>
  <c r="L471" i="3"/>
  <c r="O470" i="3"/>
  <c r="L470" i="3"/>
  <c r="O469" i="3"/>
  <c r="L469" i="3"/>
  <c r="O468" i="3"/>
  <c r="L468" i="3"/>
  <c r="O467" i="3"/>
  <c r="L467" i="3"/>
  <c r="O466" i="3"/>
  <c r="L466" i="3"/>
  <c r="O465" i="3"/>
  <c r="L465" i="3"/>
  <c r="O464" i="3"/>
  <c r="L464" i="3"/>
  <c r="O463" i="3"/>
  <c r="L463" i="3"/>
  <c r="O462" i="3"/>
  <c r="L462" i="3"/>
  <c r="O461" i="3"/>
  <c r="L461" i="3"/>
  <c r="O460" i="3"/>
  <c r="L460" i="3"/>
  <c r="O459" i="3"/>
  <c r="L459" i="3"/>
  <c r="O458" i="3"/>
  <c r="L458" i="3"/>
  <c r="O457" i="3"/>
  <c r="L457" i="3"/>
  <c r="O456" i="3"/>
  <c r="L456" i="3"/>
  <c r="O455" i="3"/>
  <c r="L455" i="3"/>
  <c r="O454" i="3"/>
  <c r="L454" i="3"/>
  <c r="O453" i="3"/>
  <c r="L453" i="3"/>
  <c r="O452" i="3"/>
  <c r="L452" i="3"/>
  <c r="O451" i="3"/>
  <c r="L451" i="3"/>
  <c r="O450" i="3"/>
  <c r="L450" i="3"/>
  <c r="O449" i="3"/>
  <c r="L449" i="3"/>
  <c r="O448" i="3"/>
  <c r="L448" i="3"/>
  <c r="O447" i="3"/>
  <c r="L447" i="3"/>
  <c r="O446" i="3"/>
  <c r="L446" i="3"/>
  <c r="O445" i="3"/>
  <c r="L445" i="3"/>
  <c r="O444" i="3"/>
  <c r="L444" i="3"/>
  <c r="O443" i="3"/>
  <c r="L443" i="3"/>
  <c r="O442" i="3"/>
  <c r="L442" i="3"/>
  <c r="O441" i="3"/>
  <c r="L441" i="3"/>
  <c r="O440" i="3"/>
  <c r="L440" i="3"/>
  <c r="O439" i="3"/>
  <c r="L439" i="3"/>
  <c r="O438" i="3"/>
  <c r="L438" i="3"/>
  <c r="O437" i="3"/>
  <c r="L437" i="3"/>
  <c r="O436" i="3"/>
  <c r="L436" i="3"/>
  <c r="O435" i="3"/>
  <c r="L435" i="3"/>
  <c r="O434" i="3"/>
  <c r="L434" i="3"/>
  <c r="O433" i="3"/>
  <c r="L433" i="3"/>
  <c r="O432" i="3"/>
  <c r="L432" i="3"/>
  <c r="O431" i="3"/>
  <c r="L431" i="3"/>
  <c r="O430" i="3"/>
  <c r="L430" i="3"/>
  <c r="O429" i="3"/>
  <c r="L429" i="3"/>
  <c r="O428" i="3"/>
  <c r="L428" i="3"/>
  <c r="O427" i="3"/>
  <c r="L427" i="3"/>
  <c r="O426" i="3"/>
  <c r="L426" i="3"/>
  <c r="O425" i="3"/>
  <c r="L425" i="3"/>
  <c r="O424" i="3"/>
  <c r="L424" i="3"/>
  <c r="O423" i="3"/>
  <c r="L423" i="3"/>
  <c r="O422" i="3"/>
  <c r="L422" i="3"/>
  <c r="O421" i="3"/>
  <c r="L421" i="3"/>
  <c r="O420" i="3"/>
  <c r="L420" i="3"/>
  <c r="O419" i="3"/>
  <c r="L419" i="3"/>
  <c r="O418" i="3"/>
  <c r="L418" i="3"/>
  <c r="O417" i="3"/>
  <c r="L417" i="3"/>
  <c r="O416" i="3"/>
  <c r="L416" i="3"/>
  <c r="O415" i="3"/>
  <c r="L415" i="3"/>
  <c r="O414" i="3"/>
  <c r="L414" i="3"/>
  <c r="O413" i="3"/>
  <c r="L413" i="3"/>
  <c r="O412" i="3"/>
  <c r="L412" i="3"/>
  <c r="O411" i="3"/>
  <c r="L411" i="3"/>
  <c r="O410" i="3"/>
  <c r="L410" i="3"/>
  <c r="O409" i="3"/>
  <c r="L409" i="3"/>
  <c r="O408" i="3"/>
  <c r="L408" i="3"/>
  <c r="O407" i="3"/>
  <c r="L407" i="3"/>
  <c r="O406" i="3"/>
  <c r="L406" i="3"/>
  <c r="O405" i="3"/>
  <c r="L405" i="3"/>
  <c r="O404" i="3"/>
  <c r="L404" i="3"/>
  <c r="O403" i="3"/>
  <c r="L403" i="3"/>
  <c r="O402" i="3"/>
  <c r="L402" i="3"/>
  <c r="O401" i="3"/>
  <c r="L401" i="3"/>
  <c r="O400" i="3"/>
  <c r="L400" i="3"/>
  <c r="O399" i="3"/>
  <c r="L399" i="3"/>
  <c r="O398" i="3"/>
  <c r="L398" i="3"/>
  <c r="O397" i="3"/>
  <c r="L397" i="3"/>
  <c r="O396" i="3"/>
  <c r="L396" i="3"/>
  <c r="O395" i="3"/>
  <c r="L395" i="3"/>
  <c r="O394" i="3"/>
  <c r="L394" i="3"/>
  <c r="O393" i="3"/>
  <c r="L393" i="3"/>
  <c r="O392" i="3"/>
  <c r="L392" i="3"/>
  <c r="O391" i="3"/>
  <c r="L391" i="3"/>
  <c r="O390" i="3"/>
  <c r="L390" i="3"/>
  <c r="O389" i="3"/>
  <c r="L389" i="3"/>
  <c r="O388" i="3"/>
  <c r="L388" i="3"/>
  <c r="O387" i="3"/>
  <c r="L387" i="3"/>
  <c r="O386" i="3"/>
  <c r="L386" i="3"/>
  <c r="O385" i="3"/>
  <c r="L385" i="3"/>
  <c r="O384" i="3"/>
  <c r="L384" i="3"/>
  <c r="O383" i="3"/>
  <c r="L383" i="3"/>
  <c r="O382" i="3"/>
  <c r="L382" i="3"/>
  <c r="O381" i="3"/>
  <c r="L381" i="3"/>
  <c r="O380" i="3"/>
  <c r="L380" i="3"/>
  <c r="O379" i="3"/>
  <c r="L379" i="3"/>
  <c r="O378" i="3"/>
  <c r="L378" i="3"/>
  <c r="O377" i="3"/>
  <c r="L377" i="3"/>
  <c r="O376" i="3"/>
  <c r="L376" i="3"/>
  <c r="O375" i="3"/>
  <c r="L375" i="3"/>
  <c r="O374" i="3"/>
  <c r="L374" i="3"/>
  <c r="O373" i="3"/>
  <c r="L373" i="3"/>
  <c r="O372" i="3"/>
  <c r="L372" i="3"/>
  <c r="O371" i="3"/>
  <c r="L371" i="3"/>
  <c r="O370" i="3"/>
  <c r="L370" i="3"/>
  <c r="O369" i="3"/>
  <c r="L369" i="3"/>
  <c r="O368" i="3"/>
  <c r="L368" i="3"/>
  <c r="O367" i="3"/>
  <c r="L367" i="3"/>
  <c r="O366" i="3"/>
  <c r="L366" i="3"/>
  <c r="O365" i="3"/>
  <c r="L365" i="3"/>
  <c r="O364" i="3"/>
  <c r="L364" i="3"/>
  <c r="O363" i="3"/>
  <c r="L363" i="3"/>
  <c r="O362" i="3"/>
  <c r="L362" i="3"/>
  <c r="O361" i="3"/>
  <c r="L361" i="3"/>
  <c r="O360" i="3"/>
  <c r="L360" i="3"/>
  <c r="O359" i="3"/>
  <c r="L359" i="3"/>
  <c r="O358" i="3"/>
  <c r="L358" i="3"/>
  <c r="O357" i="3"/>
  <c r="L357" i="3"/>
  <c r="O356" i="3"/>
  <c r="L356" i="3"/>
  <c r="O355" i="3"/>
  <c r="L355" i="3"/>
  <c r="O354" i="3"/>
  <c r="L354" i="3"/>
  <c r="O353" i="3"/>
  <c r="L353" i="3"/>
  <c r="O352" i="3"/>
  <c r="L352" i="3"/>
  <c r="O351" i="3"/>
  <c r="L351" i="3"/>
  <c r="O350" i="3"/>
  <c r="L350" i="3"/>
  <c r="O349" i="3"/>
  <c r="L349" i="3"/>
  <c r="O348" i="3"/>
  <c r="L348" i="3"/>
  <c r="O347" i="3"/>
  <c r="L347" i="3"/>
  <c r="O346" i="3"/>
  <c r="L346" i="3"/>
  <c r="O345" i="3"/>
  <c r="L345" i="3"/>
  <c r="O344" i="3"/>
  <c r="L344" i="3"/>
  <c r="O343" i="3"/>
  <c r="L343" i="3"/>
  <c r="O342" i="3"/>
  <c r="L342" i="3"/>
  <c r="O341" i="3"/>
  <c r="L341" i="3"/>
  <c r="O340" i="3"/>
  <c r="L340" i="3"/>
  <c r="O339" i="3"/>
  <c r="L339" i="3"/>
  <c r="O338" i="3"/>
  <c r="L338" i="3"/>
  <c r="O337" i="3"/>
  <c r="L337" i="3"/>
  <c r="O336" i="3"/>
  <c r="L336" i="3"/>
  <c r="O335" i="3"/>
  <c r="L335" i="3"/>
  <c r="O334" i="3"/>
  <c r="L334" i="3"/>
  <c r="O333" i="3"/>
  <c r="L333" i="3"/>
  <c r="O332" i="3"/>
  <c r="L332" i="3"/>
  <c r="O331" i="3"/>
  <c r="L331" i="3"/>
  <c r="O330" i="3"/>
  <c r="L330" i="3"/>
  <c r="O329" i="3"/>
  <c r="L329" i="3"/>
  <c r="O328" i="3"/>
  <c r="L328" i="3"/>
  <c r="O327" i="3"/>
  <c r="L327" i="3"/>
  <c r="O326" i="3"/>
  <c r="L326" i="3"/>
  <c r="O325" i="3"/>
  <c r="L325" i="3"/>
  <c r="O324" i="3"/>
  <c r="L324" i="3"/>
  <c r="O323" i="3"/>
  <c r="L323" i="3"/>
  <c r="O322" i="3"/>
  <c r="L322" i="3"/>
  <c r="O321" i="3"/>
  <c r="L321" i="3"/>
  <c r="O320" i="3"/>
  <c r="L320" i="3"/>
  <c r="O319" i="3"/>
  <c r="L319" i="3"/>
  <c r="O318" i="3"/>
  <c r="L318" i="3"/>
  <c r="O317" i="3"/>
  <c r="L317" i="3"/>
  <c r="O316" i="3"/>
  <c r="L316" i="3"/>
  <c r="O315" i="3"/>
  <c r="L315" i="3"/>
  <c r="O314" i="3"/>
  <c r="L314" i="3"/>
  <c r="O313" i="3"/>
  <c r="L313" i="3"/>
  <c r="O312" i="3"/>
  <c r="L312" i="3"/>
  <c r="O311" i="3"/>
  <c r="L311" i="3"/>
  <c r="O310" i="3"/>
  <c r="L310" i="3"/>
  <c r="O309" i="3"/>
  <c r="L309" i="3"/>
  <c r="O308" i="3"/>
  <c r="L308" i="3"/>
  <c r="O307" i="3"/>
  <c r="L307" i="3"/>
  <c r="O306" i="3"/>
  <c r="L306" i="3"/>
  <c r="O305" i="3"/>
  <c r="L305" i="3"/>
  <c r="O304" i="3"/>
  <c r="L304" i="3"/>
  <c r="O303" i="3"/>
  <c r="L303" i="3"/>
  <c r="O302" i="3"/>
  <c r="L302" i="3"/>
  <c r="O301" i="3"/>
  <c r="L301" i="3"/>
  <c r="O300" i="3"/>
  <c r="L300" i="3"/>
  <c r="O299" i="3"/>
  <c r="L299" i="3"/>
  <c r="O298" i="3"/>
  <c r="L298" i="3"/>
  <c r="O297" i="3"/>
  <c r="L297" i="3"/>
  <c r="O296" i="3"/>
  <c r="L296" i="3"/>
  <c r="O295" i="3"/>
  <c r="L295" i="3"/>
  <c r="O294" i="3"/>
  <c r="L294" i="3"/>
  <c r="O293" i="3"/>
  <c r="L293" i="3"/>
  <c r="O292" i="3"/>
  <c r="L292" i="3"/>
  <c r="O291" i="3"/>
  <c r="L291" i="3"/>
  <c r="O290" i="3"/>
  <c r="L290" i="3"/>
  <c r="O289" i="3"/>
  <c r="L289" i="3"/>
  <c r="O288" i="3"/>
  <c r="L288" i="3"/>
  <c r="O287" i="3"/>
  <c r="L287" i="3"/>
  <c r="O286" i="3"/>
  <c r="L286" i="3"/>
  <c r="O285" i="3"/>
  <c r="L285" i="3"/>
  <c r="O284" i="3"/>
  <c r="L284" i="3"/>
  <c r="O283" i="3"/>
  <c r="L283" i="3"/>
  <c r="O282" i="3"/>
  <c r="L282" i="3"/>
  <c r="O281" i="3"/>
  <c r="L281" i="3"/>
  <c r="O280" i="3"/>
  <c r="L280" i="3"/>
  <c r="O279" i="3"/>
  <c r="L279" i="3"/>
  <c r="O278" i="3"/>
  <c r="L278" i="3"/>
  <c r="O277" i="3"/>
  <c r="L277" i="3"/>
  <c r="O276" i="3"/>
  <c r="L276" i="3"/>
  <c r="O275" i="3"/>
  <c r="L275" i="3"/>
  <c r="O274" i="3"/>
  <c r="L274" i="3"/>
  <c r="O273" i="3"/>
  <c r="L273" i="3"/>
  <c r="O272" i="3"/>
  <c r="L272" i="3"/>
  <c r="O271" i="3"/>
  <c r="L271" i="3"/>
  <c r="O270" i="3"/>
  <c r="L270" i="3"/>
  <c r="O269" i="3"/>
  <c r="L269" i="3"/>
  <c r="O268" i="3"/>
  <c r="L268" i="3"/>
  <c r="O267" i="3"/>
  <c r="L267" i="3"/>
  <c r="O266" i="3"/>
  <c r="L266" i="3"/>
  <c r="O265" i="3"/>
  <c r="L265" i="3"/>
  <c r="O264" i="3"/>
  <c r="L264" i="3"/>
  <c r="O263" i="3"/>
  <c r="L263" i="3"/>
  <c r="O262" i="3"/>
  <c r="L262" i="3"/>
  <c r="O261" i="3"/>
  <c r="L261" i="3"/>
  <c r="O260" i="3"/>
  <c r="L260" i="3"/>
  <c r="O259" i="3"/>
  <c r="L259" i="3"/>
  <c r="O258" i="3"/>
  <c r="L258" i="3"/>
  <c r="O257" i="3"/>
  <c r="L257" i="3"/>
  <c r="O256" i="3"/>
  <c r="L256" i="3"/>
  <c r="O255" i="3"/>
  <c r="L255" i="3"/>
  <c r="O254" i="3"/>
  <c r="L254" i="3"/>
  <c r="O253" i="3"/>
  <c r="L253" i="3"/>
  <c r="O252" i="3"/>
  <c r="L252" i="3"/>
  <c r="O251" i="3"/>
  <c r="L251" i="3"/>
  <c r="O250" i="3"/>
  <c r="L250" i="3"/>
  <c r="O249" i="3"/>
  <c r="L249" i="3"/>
  <c r="O248" i="3"/>
  <c r="L248" i="3"/>
  <c r="O247" i="3"/>
  <c r="L247" i="3"/>
  <c r="O246" i="3"/>
  <c r="L246" i="3"/>
  <c r="O245" i="3"/>
  <c r="L245" i="3"/>
  <c r="O244" i="3"/>
  <c r="L244" i="3"/>
  <c r="O243" i="3"/>
  <c r="L243" i="3"/>
  <c r="O242" i="3"/>
  <c r="L242" i="3"/>
  <c r="O241" i="3"/>
  <c r="L241" i="3"/>
  <c r="O240" i="3"/>
  <c r="L240" i="3"/>
  <c r="O239" i="3"/>
  <c r="L239" i="3"/>
  <c r="O238" i="3"/>
  <c r="L238" i="3"/>
  <c r="O237" i="3"/>
  <c r="L237" i="3"/>
  <c r="O236" i="3"/>
  <c r="L236" i="3"/>
  <c r="O235" i="3"/>
  <c r="L235" i="3"/>
  <c r="O234" i="3"/>
  <c r="L234" i="3"/>
  <c r="O233" i="3"/>
  <c r="L233" i="3"/>
  <c r="O232" i="3"/>
  <c r="L232" i="3"/>
  <c r="O231" i="3"/>
  <c r="L231" i="3"/>
  <c r="O230" i="3"/>
  <c r="L230" i="3"/>
  <c r="O229" i="3"/>
  <c r="L229" i="3"/>
  <c r="O228" i="3"/>
  <c r="L228" i="3"/>
  <c r="O227" i="3"/>
  <c r="L227" i="3"/>
  <c r="O226" i="3"/>
  <c r="L226" i="3"/>
  <c r="O225" i="3"/>
  <c r="L225" i="3"/>
  <c r="O224" i="3"/>
  <c r="L224" i="3"/>
  <c r="O223" i="3"/>
  <c r="L223" i="3"/>
  <c r="O222" i="3"/>
  <c r="L222" i="3"/>
  <c r="O221" i="3"/>
  <c r="L221" i="3"/>
  <c r="O220" i="3"/>
  <c r="L220" i="3"/>
  <c r="O219" i="3"/>
  <c r="L219" i="3"/>
  <c r="O218" i="3"/>
  <c r="L218" i="3"/>
  <c r="O217" i="3"/>
  <c r="L217" i="3"/>
  <c r="O216" i="3"/>
  <c r="L216" i="3"/>
  <c r="O215" i="3"/>
  <c r="L215" i="3"/>
  <c r="O214" i="3"/>
  <c r="L214" i="3"/>
  <c r="O213" i="3"/>
  <c r="L213" i="3"/>
  <c r="O212" i="3"/>
  <c r="L212" i="3"/>
  <c r="O211" i="3"/>
  <c r="L211" i="3"/>
  <c r="O210" i="3"/>
  <c r="L210" i="3"/>
  <c r="O209" i="3"/>
  <c r="L209" i="3"/>
  <c r="O208" i="3"/>
  <c r="L208" i="3"/>
  <c r="O207" i="3"/>
  <c r="L207" i="3"/>
  <c r="O206" i="3"/>
  <c r="L206" i="3"/>
  <c r="O205" i="3"/>
  <c r="L205" i="3"/>
  <c r="O204" i="3"/>
  <c r="L204" i="3"/>
  <c r="O203" i="3"/>
  <c r="L203" i="3"/>
  <c r="O202" i="3"/>
  <c r="L202" i="3"/>
  <c r="O201" i="3"/>
  <c r="L201" i="3"/>
  <c r="O200" i="3"/>
  <c r="L200" i="3"/>
  <c r="O199" i="3"/>
  <c r="L199" i="3"/>
  <c r="O198" i="3"/>
  <c r="L198" i="3"/>
  <c r="O197" i="3"/>
  <c r="L197" i="3"/>
  <c r="O196" i="3"/>
  <c r="L196" i="3"/>
  <c r="O195" i="3"/>
  <c r="L195" i="3"/>
  <c r="O194" i="3"/>
  <c r="L194" i="3"/>
  <c r="O193" i="3"/>
  <c r="L193" i="3"/>
  <c r="O192" i="3"/>
  <c r="L192" i="3"/>
  <c r="O191" i="3"/>
  <c r="L191" i="3"/>
  <c r="O190" i="3"/>
  <c r="L190" i="3"/>
  <c r="O189" i="3"/>
  <c r="L189" i="3"/>
  <c r="O188" i="3"/>
  <c r="L188" i="3"/>
  <c r="O187" i="3"/>
  <c r="L187" i="3"/>
  <c r="O186" i="3"/>
  <c r="L186" i="3"/>
  <c r="O185" i="3"/>
  <c r="L185" i="3"/>
  <c r="O184" i="3"/>
  <c r="L184" i="3"/>
  <c r="O183" i="3"/>
  <c r="L183" i="3"/>
  <c r="O182" i="3"/>
  <c r="L182" i="3"/>
  <c r="O181" i="3"/>
  <c r="L181" i="3"/>
  <c r="O180" i="3"/>
  <c r="L180" i="3"/>
  <c r="O179" i="3"/>
  <c r="L179" i="3"/>
  <c r="O178" i="3"/>
  <c r="L178" i="3"/>
  <c r="O177" i="3"/>
  <c r="L177" i="3"/>
  <c r="O176" i="3"/>
  <c r="L176" i="3"/>
  <c r="O175" i="3"/>
  <c r="L175" i="3"/>
  <c r="O174" i="3"/>
  <c r="L174" i="3"/>
  <c r="O173" i="3"/>
  <c r="L173" i="3"/>
  <c r="O172" i="3"/>
  <c r="L172" i="3"/>
  <c r="O171" i="3"/>
  <c r="L171" i="3"/>
  <c r="O170" i="3"/>
  <c r="L170" i="3"/>
  <c r="O169" i="3"/>
  <c r="L169" i="3"/>
  <c r="O168" i="3"/>
  <c r="L168" i="3"/>
  <c r="O167" i="3"/>
  <c r="L167" i="3"/>
  <c r="O166" i="3"/>
  <c r="L166" i="3"/>
  <c r="O165" i="3"/>
  <c r="L165" i="3"/>
  <c r="O164" i="3"/>
  <c r="L164" i="3"/>
  <c r="O163" i="3"/>
  <c r="L163" i="3"/>
  <c r="O162" i="3"/>
  <c r="L162" i="3"/>
  <c r="O161" i="3"/>
  <c r="L161" i="3"/>
  <c r="O160" i="3"/>
  <c r="L160" i="3"/>
  <c r="O159" i="3"/>
  <c r="L159" i="3"/>
  <c r="O158" i="3"/>
  <c r="L158" i="3"/>
  <c r="O157" i="3"/>
  <c r="L157" i="3"/>
  <c r="M157" i="3" s="1"/>
  <c r="O156" i="3"/>
  <c r="L156" i="3"/>
  <c r="O155" i="3"/>
  <c r="L155" i="3"/>
  <c r="O154" i="3"/>
  <c r="L154" i="3"/>
  <c r="O153" i="3"/>
  <c r="L153" i="3"/>
  <c r="O152" i="3"/>
  <c r="L152" i="3"/>
  <c r="O151" i="3"/>
  <c r="L151" i="3"/>
  <c r="O150" i="3"/>
  <c r="L150" i="3"/>
  <c r="O149" i="3"/>
  <c r="L149" i="3"/>
  <c r="O148" i="3"/>
  <c r="L148" i="3"/>
  <c r="O147" i="3"/>
  <c r="L147" i="3"/>
  <c r="O146" i="3"/>
  <c r="L146" i="3"/>
  <c r="O145" i="3"/>
  <c r="L145" i="3"/>
  <c r="O144" i="3"/>
  <c r="L144" i="3"/>
  <c r="O143" i="3"/>
  <c r="L143" i="3"/>
  <c r="O142" i="3"/>
  <c r="L142" i="3"/>
  <c r="O141" i="3"/>
  <c r="L141" i="3"/>
  <c r="O140" i="3"/>
  <c r="L140" i="3"/>
  <c r="O139" i="3"/>
  <c r="L139" i="3"/>
  <c r="O138" i="3"/>
  <c r="L138" i="3"/>
  <c r="O137" i="3"/>
  <c r="L137" i="3"/>
  <c r="O136" i="3"/>
  <c r="L136" i="3"/>
  <c r="O135" i="3"/>
  <c r="L135" i="3"/>
  <c r="O134" i="3"/>
  <c r="L134" i="3"/>
  <c r="O133" i="3"/>
  <c r="L133" i="3"/>
  <c r="O132" i="3"/>
  <c r="L132" i="3"/>
  <c r="O131" i="3"/>
  <c r="L131" i="3"/>
  <c r="O130" i="3"/>
  <c r="L130" i="3"/>
  <c r="O129" i="3"/>
  <c r="L129" i="3"/>
  <c r="O128" i="3"/>
  <c r="L128" i="3"/>
  <c r="O127" i="3"/>
  <c r="L127" i="3"/>
  <c r="O126" i="3"/>
  <c r="L126" i="3"/>
  <c r="O125" i="3"/>
  <c r="L125" i="3"/>
  <c r="O124" i="3"/>
  <c r="L124" i="3"/>
  <c r="O123" i="3"/>
  <c r="L123" i="3"/>
  <c r="O122" i="3"/>
  <c r="L122" i="3"/>
  <c r="O121" i="3"/>
  <c r="L121" i="3"/>
  <c r="O120" i="3"/>
  <c r="L120" i="3"/>
  <c r="O119" i="3"/>
  <c r="L119" i="3"/>
  <c r="O118" i="3"/>
  <c r="L118" i="3"/>
  <c r="O117" i="3"/>
  <c r="L117" i="3"/>
  <c r="O116" i="3"/>
  <c r="L116" i="3"/>
  <c r="O115" i="3"/>
  <c r="L115" i="3"/>
  <c r="O114" i="3"/>
  <c r="L114" i="3"/>
  <c r="O113" i="3"/>
  <c r="L113" i="3"/>
  <c r="O112" i="3"/>
  <c r="L112" i="3"/>
  <c r="O111" i="3"/>
  <c r="L111" i="3"/>
  <c r="O110" i="3"/>
  <c r="L110" i="3"/>
  <c r="O109" i="3"/>
  <c r="L109" i="3"/>
  <c r="O108" i="3"/>
  <c r="L108" i="3"/>
  <c r="O107" i="3"/>
  <c r="L107" i="3"/>
  <c r="O106" i="3"/>
  <c r="L106" i="3"/>
  <c r="O105" i="3"/>
  <c r="L105" i="3"/>
  <c r="O104" i="3"/>
  <c r="L104" i="3"/>
  <c r="O103" i="3"/>
  <c r="L103" i="3"/>
  <c r="M103" i="3" s="1"/>
  <c r="O102" i="3"/>
  <c r="L102" i="3"/>
  <c r="O101" i="3"/>
  <c r="L101" i="3"/>
  <c r="O100" i="3"/>
  <c r="L100" i="3"/>
  <c r="O99" i="3"/>
  <c r="L99" i="3"/>
  <c r="O98" i="3"/>
  <c r="L98" i="3"/>
  <c r="O97" i="3"/>
  <c r="L97" i="3"/>
  <c r="M97" i="3" s="1"/>
  <c r="O96" i="3"/>
  <c r="L96" i="3"/>
  <c r="O95" i="3"/>
  <c r="L95" i="3"/>
  <c r="O94" i="3"/>
  <c r="L94" i="3"/>
  <c r="O93" i="3"/>
  <c r="L93" i="3"/>
  <c r="O92" i="3"/>
  <c r="L92" i="3"/>
  <c r="O91" i="3"/>
  <c r="L91" i="3"/>
  <c r="O90" i="3"/>
  <c r="L90" i="3"/>
  <c r="O89" i="3"/>
  <c r="L89" i="3"/>
  <c r="O88" i="3"/>
  <c r="L88" i="3"/>
  <c r="O87" i="3"/>
  <c r="L87" i="3"/>
  <c r="O86" i="3"/>
  <c r="L86" i="3"/>
  <c r="O85" i="3"/>
  <c r="L85" i="3"/>
  <c r="O84" i="3"/>
  <c r="L84" i="3"/>
  <c r="O83" i="3"/>
  <c r="L83" i="3"/>
  <c r="M83" i="3" s="1"/>
  <c r="O82" i="3"/>
  <c r="L82" i="3"/>
  <c r="O81" i="3"/>
  <c r="L81" i="3"/>
  <c r="O80" i="3"/>
  <c r="L80" i="3"/>
  <c r="O79" i="3"/>
  <c r="L79" i="3"/>
  <c r="O78" i="3"/>
  <c r="L78" i="3"/>
  <c r="M78" i="3" s="1"/>
  <c r="O77" i="3"/>
  <c r="L77" i="3"/>
  <c r="O76" i="3"/>
  <c r="L76" i="3"/>
  <c r="O75" i="3"/>
  <c r="L75" i="3"/>
  <c r="O74" i="3"/>
  <c r="L74" i="3"/>
  <c r="O73" i="3"/>
  <c r="L73" i="3"/>
  <c r="O72" i="3"/>
  <c r="L72" i="3"/>
  <c r="O71" i="3"/>
  <c r="L71" i="3"/>
  <c r="O70" i="3"/>
  <c r="L70" i="3"/>
  <c r="O69" i="3"/>
  <c r="L69" i="3"/>
  <c r="O68" i="3"/>
  <c r="L68" i="3"/>
  <c r="O67" i="3"/>
  <c r="L67" i="3"/>
  <c r="O66" i="3"/>
  <c r="L66" i="3"/>
  <c r="M66" i="3" s="1"/>
  <c r="O65" i="3"/>
  <c r="L65" i="3"/>
  <c r="M65" i="3" s="1"/>
  <c r="O64" i="3"/>
  <c r="L64" i="3"/>
  <c r="O63" i="3"/>
  <c r="L63" i="3"/>
  <c r="O62" i="3"/>
  <c r="L62" i="3"/>
  <c r="O61" i="3"/>
  <c r="L61" i="3"/>
  <c r="M61" i="3" s="1"/>
  <c r="O60" i="3"/>
  <c r="L60" i="3"/>
  <c r="O59" i="3"/>
  <c r="L59" i="3"/>
  <c r="O58" i="3"/>
  <c r="L58" i="3"/>
  <c r="M58" i="3" s="1"/>
  <c r="O57" i="3"/>
  <c r="L57" i="3"/>
  <c r="M57" i="3" s="1"/>
  <c r="O56" i="3"/>
  <c r="L56" i="3"/>
  <c r="O55" i="3"/>
  <c r="L55" i="3"/>
  <c r="O54" i="3"/>
  <c r="L54" i="3"/>
  <c r="M54" i="3" s="1"/>
  <c r="O53" i="3"/>
  <c r="L53" i="3"/>
  <c r="M53" i="3" s="1"/>
  <c r="O52" i="3"/>
  <c r="L52" i="3"/>
  <c r="O51" i="3"/>
  <c r="L51" i="3"/>
  <c r="O50" i="3"/>
  <c r="L50" i="3"/>
  <c r="O49" i="3"/>
  <c r="L49" i="3"/>
  <c r="O48" i="3"/>
  <c r="L48" i="3"/>
  <c r="O47" i="3"/>
  <c r="L47" i="3"/>
  <c r="M47" i="3" s="1"/>
  <c r="O46" i="3"/>
  <c r="L46" i="3"/>
  <c r="O45" i="3"/>
  <c r="L45" i="3"/>
  <c r="O44" i="3"/>
  <c r="L44" i="3"/>
  <c r="O43" i="3"/>
  <c r="L43" i="3"/>
  <c r="O42" i="3"/>
  <c r="L42" i="3"/>
  <c r="O41" i="3"/>
  <c r="L41" i="3"/>
  <c r="O40" i="3"/>
  <c r="L40" i="3"/>
  <c r="O39" i="3"/>
  <c r="L39" i="3"/>
  <c r="O38" i="3"/>
  <c r="L38" i="3"/>
  <c r="O37" i="3"/>
  <c r="L37" i="3"/>
  <c r="O36" i="3"/>
  <c r="L36" i="3"/>
  <c r="M36" i="3" s="1"/>
  <c r="O35" i="3"/>
  <c r="L35" i="3"/>
  <c r="O34" i="3"/>
  <c r="L34" i="3"/>
  <c r="M34" i="3" s="1"/>
  <c r="O33" i="3"/>
  <c r="L33" i="3"/>
  <c r="O32" i="3"/>
  <c r="L32" i="3"/>
  <c r="M32" i="3" s="1"/>
  <c r="O31" i="3"/>
  <c r="L31" i="3"/>
  <c r="M31" i="3" s="1"/>
  <c r="O30" i="3"/>
  <c r="L30" i="3"/>
  <c r="M30" i="3" s="1"/>
  <c r="O29" i="3"/>
  <c r="L29" i="3"/>
  <c r="M29" i="3" s="1"/>
  <c r="O28" i="3"/>
  <c r="L28" i="3"/>
  <c r="M28" i="3" s="1"/>
  <c r="O27" i="3"/>
  <c r="L27" i="3"/>
  <c r="M27" i="3" s="1"/>
  <c r="O26" i="3"/>
  <c r="L26" i="3"/>
  <c r="O25" i="3"/>
  <c r="L25" i="3"/>
  <c r="M25" i="3" s="1"/>
  <c r="O24" i="3"/>
  <c r="L24" i="3"/>
  <c r="O23" i="3"/>
  <c r="L23" i="3"/>
  <c r="M23" i="3" s="1"/>
  <c r="O22" i="3"/>
  <c r="L22" i="3"/>
  <c r="M22" i="3" s="1"/>
  <c r="O21" i="3"/>
  <c r="L21" i="3"/>
  <c r="M21" i="3" s="1"/>
  <c r="O20" i="3"/>
  <c r="L20" i="3"/>
  <c r="M20" i="3" s="1"/>
  <c r="O19" i="3"/>
  <c r="L19" i="3"/>
  <c r="M19" i="3" s="1"/>
  <c r="O18" i="3"/>
  <c r="L18" i="3"/>
  <c r="O17" i="3"/>
  <c r="L17" i="3"/>
  <c r="M17" i="3" s="1"/>
  <c r="O16" i="3"/>
  <c r="L16" i="3"/>
  <c r="O15" i="3"/>
  <c r="L15" i="3"/>
  <c r="O14" i="3"/>
  <c r="L14" i="3"/>
  <c r="M14" i="3" s="1"/>
  <c r="O13" i="3"/>
  <c r="L13" i="3"/>
  <c r="M13" i="3" s="1"/>
  <c r="O12" i="3"/>
  <c r="L12" i="3"/>
  <c r="M12" i="3" s="1"/>
  <c r="O11" i="3"/>
  <c r="L11" i="3"/>
  <c r="M11" i="3" s="1"/>
  <c r="O10" i="3"/>
  <c r="L10" i="3"/>
  <c r="M10" i="3" s="1"/>
  <c r="O9" i="3"/>
  <c r="L9" i="3"/>
  <c r="M9" i="3" s="1"/>
  <c r="O8" i="3"/>
  <c r="L8" i="3"/>
  <c r="M8" i="3" s="1"/>
  <c r="O7" i="3"/>
  <c r="L7" i="3"/>
  <c r="M7" i="3" s="1"/>
  <c r="O6" i="3"/>
  <c r="L6" i="3"/>
  <c r="O5" i="3"/>
  <c r="L5" i="3"/>
  <c r="M5" i="3" s="1"/>
  <c r="O4" i="3"/>
  <c r="L4" i="3"/>
  <c r="M4" i="3" s="1"/>
  <c r="O3" i="3"/>
  <c r="L3" i="3"/>
  <c r="M3" i="3" s="1"/>
  <c r="O2" i="3"/>
  <c r="L2" i="3"/>
  <c r="M2" i="3" s="1"/>
  <c r="N2" i="3" l="1"/>
  <c r="N3" i="3"/>
  <c r="N4" i="3"/>
  <c r="N5" i="3"/>
  <c r="M6" i="3"/>
  <c r="N6" i="3" s="1"/>
  <c r="N7" i="3"/>
  <c r="N8" i="3"/>
  <c r="N9" i="3"/>
  <c r="N10" i="3"/>
  <c r="N11" i="3"/>
  <c r="N12" i="3"/>
  <c r="N13" i="3"/>
  <c r="N14" i="3"/>
  <c r="M15" i="3"/>
  <c r="N15" i="3" s="1"/>
  <c r="M16" i="3"/>
  <c r="N16" i="3" s="1"/>
  <c r="N17" i="3"/>
  <c r="M18" i="3"/>
  <c r="N18" i="3" s="1"/>
  <c r="N19" i="3"/>
  <c r="N20" i="3"/>
  <c r="N21" i="3"/>
  <c r="N22" i="3"/>
  <c r="N23" i="3"/>
  <c r="M24" i="3"/>
  <c r="N24" i="3" s="1"/>
  <c r="N25" i="3"/>
  <c r="M26" i="3"/>
  <c r="N26" i="3" s="1"/>
  <c r="N27" i="3"/>
  <c r="N28" i="3"/>
  <c r="N29" i="3"/>
  <c r="N30" i="3"/>
  <c r="N31" i="3"/>
  <c r="N32" i="3"/>
  <c r="M33" i="3"/>
  <c r="N33" i="3" s="1"/>
  <c r="N34" i="3"/>
  <c r="M35" i="3"/>
  <c r="N35" i="3" s="1"/>
  <c r="N36" i="3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N47" i="3"/>
  <c r="M48" i="3"/>
  <c r="N48" i="3" s="1"/>
  <c r="M49" i="3"/>
  <c r="N49" i="3" s="1"/>
  <c r="M50" i="3"/>
  <c r="N50" i="3" s="1"/>
  <c r="M51" i="3"/>
  <c r="N51" i="3" s="1"/>
  <c r="M52" i="3"/>
  <c r="N52" i="3" s="1"/>
  <c r="N53" i="3"/>
  <c r="N54" i="3"/>
  <c r="M55" i="3"/>
  <c r="N55" i="3" s="1"/>
  <c r="M56" i="3"/>
  <c r="N56" i="3" s="1"/>
  <c r="N57" i="3"/>
  <c r="N58" i="3"/>
  <c r="M59" i="3"/>
  <c r="N59" i="3" s="1"/>
  <c r="M60" i="3"/>
  <c r="N60" i="3" s="1"/>
  <c r="N61" i="3"/>
  <c r="M62" i="3"/>
  <c r="N62" i="3" s="1"/>
  <c r="M63" i="3"/>
  <c r="N63" i="3" s="1"/>
  <c r="M64" i="3"/>
  <c r="N64" i="3" s="1"/>
  <c r="N65" i="3"/>
  <c r="N66" i="3"/>
  <c r="M67" i="3"/>
  <c r="N67" i="3" s="1"/>
  <c r="M68" i="3"/>
  <c r="N68" i="3" s="1"/>
  <c r="M69" i="3"/>
  <c r="N69" i="3" s="1"/>
  <c r="M70" i="3"/>
  <c r="N70" i="3" s="1"/>
  <c r="M71" i="3"/>
  <c r="N71" i="3" s="1"/>
  <c r="M72" i="3"/>
  <c r="N72" i="3" s="1"/>
  <c r="M73" i="3"/>
  <c r="N73" i="3" s="1"/>
  <c r="M74" i="3"/>
  <c r="N74" i="3" s="1"/>
  <c r="M75" i="3"/>
  <c r="N75" i="3" s="1"/>
  <c r="M76" i="3"/>
  <c r="N76" i="3" s="1"/>
  <c r="M77" i="3"/>
  <c r="N77" i="3" s="1"/>
  <c r="N78" i="3"/>
  <c r="M79" i="3"/>
  <c r="N79" i="3" s="1"/>
  <c r="M80" i="3"/>
  <c r="N80" i="3" s="1"/>
  <c r="M81" i="3"/>
  <c r="N81" i="3" s="1"/>
  <c r="M82" i="3"/>
  <c r="N82" i="3" s="1"/>
  <c r="N83" i="3"/>
  <c r="M84" i="3"/>
  <c r="N84" i="3" s="1"/>
  <c r="M85" i="3"/>
  <c r="N85" i="3" s="1"/>
  <c r="M86" i="3"/>
  <c r="N86" i="3" s="1"/>
  <c r="M87" i="3"/>
  <c r="N87" i="3" s="1"/>
  <c r="M88" i="3"/>
  <c r="N88" i="3" s="1"/>
  <c r="M89" i="3"/>
  <c r="N89" i="3" s="1"/>
  <c r="M90" i="3"/>
  <c r="N90" i="3" s="1"/>
  <c r="M91" i="3"/>
  <c r="N91" i="3" s="1"/>
  <c r="M92" i="3"/>
  <c r="N92" i="3" s="1"/>
  <c r="M93" i="3"/>
  <c r="N93" i="3" s="1"/>
  <c r="M94" i="3"/>
  <c r="N94" i="3" s="1"/>
  <c r="M95" i="3"/>
  <c r="N95" i="3" s="1"/>
  <c r="M96" i="3"/>
  <c r="N96" i="3" s="1"/>
  <c r="N97" i="3"/>
  <c r="M98" i="3"/>
  <c r="N98" i="3" s="1"/>
  <c r="M99" i="3"/>
  <c r="N99" i="3" s="1"/>
  <c r="M100" i="3"/>
  <c r="N100" i="3" s="1"/>
  <c r="M101" i="3"/>
  <c r="N101" i="3" s="1"/>
  <c r="M102" i="3"/>
  <c r="N102" i="3" s="1"/>
  <c r="N103" i="3"/>
  <c r="M104" i="3"/>
  <c r="N104" i="3" s="1"/>
  <c r="M105" i="3"/>
  <c r="N105" i="3" s="1"/>
  <c r="M106" i="3"/>
  <c r="N106" i="3" s="1"/>
  <c r="M107" i="3"/>
  <c r="N107" i="3" s="1"/>
  <c r="M108" i="3"/>
  <c r="N108" i="3" s="1"/>
  <c r="M109" i="3"/>
  <c r="N109" i="3" s="1"/>
  <c r="M110" i="3"/>
  <c r="N110" i="3" s="1"/>
  <c r="M111" i="3"/>
  <c r="N111" i="3" s="1"/>
  <c r="M112" i="3"/>
  <c r="N112" i="3" s="1"/>
  <c r="M113" i="3"/>
  <c r="N113" i="3" s="1"/>
  <c r="M114" i="3"/>
  <c r="N114" i="3" s="1"/>
  <c r="M115" i="3"/>
  <c r="N115" i="3" s="1"/>
  <c r="M116" i="3"/>
  <c r="N116" i="3" s="1"/>
  <c r="M117" i="3"/>
  <c r="N117" i="3" s="1"/>
  <c r="M118" i="3"/>
  <c r="N118" i="3" s="1"/>
  <c r="M119" i="3"/>
  <c r="N119" i="3" s="1"/>
  <c r="M120" i="3"/>
  <c r="N120" i="3" s="1"/>
  <c r="M121" i="3"/>
  <c r="N121" i="3" s="1"/>
  <c r="M122" i="3"/>
  <c r="N122" i="3" s="1"/>
  <c r="M123" i="3"/>
  <c r="N123" i="3" s="1"/>
  <c r="M124" i="3"/>
  <c r="N124" i="3" s="1"/>
  <c r="M125" i="3"/>
  <c r="N125" i="3" s="1"/>
  <c r="M126" i="3"/>
  <c r="N126" i="3" s="1"/>
  <c r="M127" i="3"/>
  <c r="N127" i="3" s="1"/>
  <c r="M128" i="3"/>
  <c r="N128" i="3" s="1"/>
  <c r="M129" i="3"/>
  <c r="N129" i="3" s="1"/>
  <c r="M130" i="3"/>
  <c r="N130" i="3" s="1"/>
  <c r="M131" i="3"/>
  <c r="N131" i="3" s="1"/>
  <c r="M132" i="3"/>
  <c r="N132" i="3" s="1"/>
  <c r="M133" i="3"/>
  <c r="N133" i="3" s="1"/>
  <c r="M134" i="3"/>
  <c r="N134" i="3" s="1"/>
  <c r="M135" i="3"/>
  <c r="N135" i="3" s="1"/>
  <c r="M136" i="3"/>
  <c r="N136" i="3" s="1"/>
  <c r="M137" i="3"/>
  <c r="N137" i="3" s="1"/>
  <c r="M138" i="3"/>
  <c r="N138" i="3" s="1"/>
  <c r="M139" i="3"/>
  <c r="N139" i="3" s="1"/>
  <c r="M140" i="3"/>
  <c r="N140" i="3" s="1"/>
  <c r="M141" i="3"/>
  <c r="N141" i="3" s="1"/>
  <c r="M142" i="3"/>
  <c r="N142" i="3" s="1"/>
  <c r="M143" i="3"/>
  <c r="N143" i="3" s="1"/>
  <c r="M144" i="3"/>
  <c r="N144" i="3" s="1"/>
  <c r="M145" i="3"/>
  <c r="N145" i="3" s="1"/>
  <c r="M146" i="3"/>
  <c r="N146" i="3" s="1"/>
  <c r="M147" i="3"/>
  <c r="N147" i="3" s="1"/>
  <c r="M148" i="3"/>
  <c r="N148" i="3" s="1"/>
  <c r="M149" i="3"/>
  <c r="N149" i="3" s="1"/>
  <c r="M150" i="3"/>
  <c r="N150" i="3" s="1"/>
  <c r="M151" i="3"/>
  <c r="N151" i="3" s="1"/>
  <c r="M152" i="3"/>
  <c r="N152" i="3" s="1"/>
  <c r="M153" i="3"/>
  <c r="N153" i="3" s="1"/>
  <c r="M154" i="3"/>
  <c r="N154" i="3" s="1"/>
  <c r="M155" i="3"/>
  <c r="N155" i="3" s="1"/>
  <c r="M156" i="3"/>
  <c r="N156" i="3" s="1"/>
  <c r="N157" i="3"/>
  <c r="M158" i="3"/>
  <c r="N158" i="3" s="1"/>
  <c r="M159" i="3"/>
  <c r="N159" i="3" s="1"/>
  <c r="M160" i="3"/>
  <c r="N160" i="3" s="1"/>
  <c r="M161" i="3"/>
  <c r="N161" i="3" s="1"/>
  <c r="M162" i="3"/>
  <c r="N162" i="3" s="1"/>
  <c r="M163" i="3"/>
  <c r="N163" i="3" s="1"/>
  <c r="M164" i="3"/>
  <c r="N164" i="3" s="1"/>
  <c r="M165" i="3"/>
  <c r="N165" i="3" s="1"/>
  <c r="M166" i="3"/>
  <c r="N166" i="3" s="1"/>
  <c r="M167" i="3"/>
  <c r="N167" i="3" s="1"/>
  <c r="M168" i="3"/>
  <c r="N168" i="3" s="1"/>
  <c r="M169" i="3"/>
  <c r="N169" i="3" s="1"/>
  <c r="M170" i="3"/>
  <c r="N170" i="3" s="1"/>
  <c r="M171" i="3"/>
  <c r="N171" i="3" s="1"/>
  <c r="M172" i="3"/>
  <c r="N172" i="3" s="1"/>
  <c r="M173" i="3"/>
  <c r="N173" i="3" s="1"/>
  <c r="M174" i="3"/>
  <c r="N174" i="3" s="1"/>
  <c r="M175" i="3"/>
  <c r="N175" i="3" s="1"/>
  <c r="M176" i="3"/>
  <c r="N176" i="3" s="1"/>
  <c r="M177" i="3"/>
  <c r="N177" i="3" s="1"/>
  <c r="M178" i="3"/>
  <c r="N178" i="3" s="1"/>
  <c r="M179" i="3"/>
  <c r="N179" i="3" s="1"/>
  <c r="M180" i="3"/>
  <c r="N180" i="3" s="1"/>
  <c r="M181" i="3"/>
  <c r="N181" i="3" s="1"/>
  <c r="M182" i="3"/>
  <c r="N182" i="3" s="1"/>
  <c r="M183" i="3"/>
  <c r="N183" i="3" s="1"/>
  <c r="M184" i="3"/>
  <c r="N184" i="3" s="1"/>
  <c r="M185" i="3"/>
  <c r="N185" i="3" s="1"/>
  <c r="M186" i="3"/>
  <c r="N186" i="3" s="1"/>
  <c r="M187" i="3"/>
  <c r="N187" i="3" s="1"/>
  <c r="M188" i="3"/>
  <c r="N188" i="3" s="1"/>
  <c r="M189" i="3"/>
  <c r="N189" i="3" s="1"/>
  <c r="M190" i="3"/>
  <c r="N190" i="3" s="1"/>
  <c r="M191" i="3"/>
  <c r="N191" i="3" s="1"/>
  <c r="M192" i="3"/>
  <c r="N192" i="3" s="1"/>
  <c r="M193" i="3"/>
  <c r="N193" i="3" s="1"/>
  <c r="M194" i="3"/>
  <c r="N194" i="3" s="1"/>
  <c r="M195" i="3"/>
  <c r="N195" i="3" s="1"/>
  <c r="M196" i="3"/>
  <c r="N196" i="3" s="1"/>
  <c r="M197" i="3"/>
  <c r="N197" i="3" s="1"/>
  <c r="M198" i="3"/>
  <c r="N198" i="3" s="1"/>
  <c r="M199" i="3"/>
  <c r="N199" i="3" s="1"/>
  <c r="M200" i="3"/>
  <c r="N200" i="3" s="1"/>
  <c r="M201" i="3"/>
  <c r="N201" i="3" s="1"/>
  <c r="M202" i="3"/>
  <c r="N202" i="3" s="1"/>
  <c r="M203" i="3"/>
  <c r="N203" i="3" s="1"/>
  <c r="M204" i="3"/>
  <c r="N204" i="3" s="1"/>
  <c r="M205" i="3"/>
  <c r="N205" i="3" s="1"/>
  <c r="M206" i="3"/>
  <c r="N206" i="3" s="1"/>
  <c r="M207" i="3"/>
  <c r="N207" i="3" s="1"/>
  <c r="M208" i="3"/>
  <c r="N208" i="3" s="1"/>
  <c r="M209" i="3"/>
  <c r="N209" i="3" s="1"/>
  <c r="M210" i="3"/>
  <c r="N210" i="3" s="1"/>
  <c r="M211" i="3"/>
  <c r="N211" i="3" s="1"/>
  <c r="M212" i="3"/>
  <c r="N212" i="3" s="1"/>
  <c r="M213" i="3"/>
  <c r="N213" i="3" s="1"/>
  <c r="M214" i="3"/>
  <c r="N214" i="3" s="1"/>
  <c r="M215" i="3"/>
  <c r="N215" i="3" s="1"/>
  <c r="M216" i="3"/>
  <c r="N216" i="3" s="1"/>
  <c r="M217" i="3"/>
  <c r="N217" i="3" s="1"/>
  <c r="M218" i="3"/>
  <c r="N218" i="3" s="1"/>
  <c r="M219" i="3"/>
  <c r="N219" i="3" s="1"/>
  <c r="M220" i="3"/>
  <c r="N220" i="3" s="1"/>
  <c r="M221" i="3"/>
  <c r="N221" i="3" s="1"/>
  <c r="M222" i="3"/>
  <c r="N222" i="3" s="1"/>
  <c r="M223" i="3"/>
  <c r="N223" i="3" s="1"/>
  <c r="M224" i="3"/>
  <c r="N224" i="3" s="1"/>
  <c r="M225" i="3"/>
  <c r="N225" i="3" s="1"/>
  <c r="M226" i="3"/>
  <c r="N226" i="3" s="1"/>
  <c r="M227" i="3"/>
  <c r="N227" i="3" s="1"/>
  <c r="M228" i="3"/>
  <c r="N228" i="3" s="1"/>
  <c r="M229" i="3"/>
  <c r="N229" i="3" s="1"/>
  <c r="M230" i="3"/>
  <c r="N230" i="3" s="1"/>
  <c r="M231" i="3"/>
  <c r="N231" i="3" s="1"/>
  <c r="M232" i="3"/>
  <c r="N232" i="3" s="1"/>
  <c r="M233" i="3"/>
  <c r="N233" i="3" s="1"/>
  <c r="M234" i="3"/>
  <c r="N234" i="3" s="1"/>
  <c r="M235" i="3"/>
  <c r="N235" i="3" s="1"/>
  <c r="M236" i="3"/>
  <c r="N236" i="3" s="1"/>
  <c r="M237" i="3"/>
  <c r="N237" i="3" s="1"/>
  <c r="M238" i="3"/>
  <c r="N238" i="3" s="1"/>
  <c r="M239" i="3"/>
  <c r="N239" i="3" s="1"/>
  <c r="M240" i="3"/>
  <c r="N240" i="3" s="1"/>
  <c r="M241" i="3"/>
  <c r="N241" i="3" s="1"/>
  <c r="M242" i="3"/>
  <c r="N242" i="3" s="1"/>
  <c r="M243" i="3"/>
  <c r="N243" i="3" s="1"/>
  <c r="M244" i="3"/>
  <c r="N244" i="3" s="1"/>
  <c r="M245" i="3"/>
  <c r="N245" i="3" s="1"/>
  <c r="M246" i="3"/>
  <c r="N246" i="3" s="1"/>
  <c r="M247" i="3"/>
  <c r="N247" i="3" s="1"/>
  <c r="M248" i="3"/>
  <c r="N248" i="3" s="1"/>
  <c r="M249" i="3"/>
  <c r="N249" i="3" s="1"/>
  <c r="M250" i="3"/>
  <c r="N250" i="3" s="1"/>
  <c r="M251" i="3"/>
  <c r="N251" i="3" s="1"/>
  <c r="M252" i="3"/>
  <c r="N252" i="3" s="1"/>
  <c r="M253" i="3"/>
  <c r="N253" i="3" s="1"/>
  <c r="M254" i="3"/>
  <c r="N254" i="3" s="1"/>
  <c r="M255" i="3"/>
  <c r="N255" i="3" s="1"/>
  <c r="M256" i="3"/>
  <c r="N256" i="3" s="1"/>
  <c r="M257" i="3"/>
  <c r="N257" i="3" s="1"/>
  <c r="M258" i="3"/>
  <c r="N258" i="3" s="1"/>
  <c r="M259" i="3"/>
  <c r="N259" i="3" s="1"/>
  <c r="M260" i="3"/>
  <c r="N260" i="3" s="1"/>
  <c r="M261" i="3"/>
  <c r="N261" i="3" s="1"/>
  <c r="M262" i="3"/>
  <c r="N262" i="3" s="1"/>
  <c r="M263" i="3"/>
  <c r="N263" i="3" s="1"/>
  <c r="M264" i="3"/>
  <c r="N264" i="3" s="1"/>
  <c r="M265" i="3"/>
  <c r="N265" i="3" s="1"/>
  <c r="M266" i="3"/>
  <c r="N266" i="3" s="1"/>
  <c r="M267" i="3"/>
  <c r="N267" i="3" s="1"/>
  <c r="M268" i="3"/>
  <c r="N268" i="3" s="1"/>
  <c r="M269" i="3"/>
  <c r="N269" i="3" s="1"/>
  <c r="M270" i="3"/>
  <c r="N270" i="3" s="1"/>
  <c r="M271" i="3"/>
  <c r="N271" i="3" s="1"/>
  <c r="M272" i="3"/>
  <c r="N272" i="3" s="1"/>
  <c r="M273" i="3"/>
  <c r="N273" i="3" s="1"/>
  <c r="M274" i="3"/>
  <c r="N274" i="3" s="1"/>
  <c r="M275" i="3"/>
  <c r="N275" i="3" s="1"/>
  <c r="M276" i="3"/>
  <c r="N276" i="3" s="1"/>
  <c r="M277" i="3"/>
  <c r="N277" i="3" s="1"/>
  <c r="M278" i="3"/>
  <c r="N278" i="3" s="1"/>
  <c r="M279" i="3"/>
  <c r="N279" i="3" s="1"/>
  <c r="M280" i="3"/>
  <c r="N280" i="3" s="1"/>
  <c r="M281" i="3"/>
  <c r="N281" i="3" s="1"/>
  <c r="M282" i="3"/>
  <c r="N282" i="3" s="1"/>
  <c r="M283" i="3"/>
  <c r="N283" i="3" s="1"/>
  <c r="M284" i="3"/>
  <c r="N284" i="3" s="1"/>
  <c r="M285" i="3"/>
  <c r="N285" i="3" s="1"/>
  <c r="M286" i="3"/>
  <c r="N286" i="3" s="1"/>
  <c r="M287" i="3"/>
  <c r="N287" i="3" s="1"/>
  <c r="M288" i="3"/>
  <c r="N288" i="3" s="1"/>
  <c r="M289" i="3"/>
  <c r="N289" i="3" s="1"/>
  <c r="M290" i="3"/>
  <c r="N290" i="3" s="1"/>
  <c r="M291" i="3"/>
  <c r="N291" i="3" s="1"/>
  <c r="M292" i="3"/>
  <c r="N292" i="3" s="1"/>
  <c r="M293" i="3"/>
  <c r="N293" i="3" s="1"/>
  <c r="M294" i="3"/>
  <c r="N294" i="3" s="1"/>
  <c r="M295" i="3"/>
  <c r="N295" i="3" s="1"/>
  <c r="M296" i="3"/>
  <c r="N296" i="3" s="1"/>
  <c r="M297" i="3"/>
  <c r="N297" i="3" s="1"/>
  <c r="M298" i="3"/>
  <c r="N298" i="3" s="1"/>
  <c r="M299" i="3"/>
  <c r="N299" i="3" s="1"/>
  <c r="M300" i="3"/>
  <c r="N300" i="3" s="1"/>
  <c r="M301" i="3"/>
  <c r="N301" i="3" s="1"/>
  <c r="M302" i="3"/>
  <c r="N302" i="3" s="1"/>
  <c r="M303" i="3"/>
  <c r="N303" i="3" s="1"/>
  <c r="M304" i="3"/>
  <c r="N304" i="3" s="1"/>
  <c r="M305" i="3"/>
  <c r="N305" i="3" s="1"/>
  <c r="M306" i="3"/>
  <c r="N306" i="3" s="1"/>
  <c r="M307" i="3"/>
  <c r="N307" i="3" s="1"/>
  <c r="M308" i="3"/>
  <c r="N308" i="3" s="1"/>
  <c r="M309" i="3"/>
  <c r="N309" i="3" s="1"/>
  <c r="M310" i="3"/>
  <c r="N310" i="3" s="1"/>
  <c r="M311" i="3"/>
  <c r="N311" i="3" s="1"/>
  <c r="M312" i="3"/>
  <c r="N312" i="3" s="1"/>
  <c r="M313" i="3"/>
  <c r="N313" i="3" s="1"/>
  <c r="M314" i="3"/>
  <c r="N314" i="3" s="1"/>
  <c r="M315" i="3"/>
  <c r="N315" i="3" s="1"/>
  <c r="M316" i="3"/>
  <c r="N316" i="3" s="1"/>
  <c r="M317" i="3"/>
  <c r="N317" i="3" s="1"/>
  <c r="M318" i="3"/>
  <c r="N318" i="3" s="1"/>
  <c r="M319" i="3"/>
  <c r="N319" i="3" s="1"/>
  <c r="M320" i="3"/>
  <c r="N320" i="3" s="1"/>
  <c r="M321" i="3"/>
  <c r="N321" i="3" s="1"/>
  <c r="M322" i="3"/>
  <c r="N322" i="3" s="1"/>
  <c r="M323" i="3"/>
  <c r="N323" i="3" s="1"/>
  <c r="M324" i="3"/>
  <c r="N324" i="3" s="1"/>
  <c r="M325" i="3"/>
  <c r="N325" i="3" s="1"/>
  <c r="M326" i="3"/>
  <c r="N326" i="3" s="1"/>
  <c r="M327" i="3"/>
  <c r="N327" i="3" s="1"/>
  <c r="M328" i="3"/>
  <c r="N328" i="3" s="1"/>
  <c r="M329" i="3"/>
  <c r="N329" i="3" s="1"/>
  <c r="M330" i="3"/>
  <c r="N330" i="3" s="1"/>
  <c r="M331" i="3"/>
  <c r="N331" i="3" s="1"/>
  <c r="M332" i="3"/>
  <c r="N332" i="3" s="1"/>
  <c r="M333" i="3"/>
  <c r="N333" i="3" s="1"/>
  <c r="M334" i="3"/>
  <c r="N334" i="3" s="1"/>
  <c r="M335" i="3"/>
  <c r="N335" i="3" s="1"/>
  <c r="M336" i="3"/>
  <c r="N336" i="3" s="1"/>
  <c r="M337" i="3"/>
  <c r="N337" i="3" s="1"/>
  <c r="M338" i="3"/>
  <c r="N338" i="3" s="1"/>
  <c r="M339" i="3"/>
  <c r="N339" i="3" s="1"/>
  <c r="M340" i="3"/>
  <c r="N340" i="3" s="1"/>
  <c r="M341" i="3"/>
  <c r="N341" i="3" s="1"/>
  <c r="M342" i="3"/>
  <c r="N342" i="3" s="1"/>
  <c r="M343" i="3"/>
  <c r="N343" i="3" s="1"/>
  <c r="M344" i="3"/>
  <c r="N344" i="3" s="1"/>
  <c r="M345" i="3"/>
  <c r="N345" i="3" s="1"/>
  <c r="M346" i="3"/>
  <c r="N346" i="3" s="1"/>
  <c r="M347" i="3"/>
  <c r="N347" i="3" s="1"/>
  <c r="M348" i="3"/>
  <c r="N348" i="3" s="1"/>
  <c r="M349" i="3"/>
  <c r="N349" i="3" s="1"/>
  <c r="M350" i="3"/>
  <c r="N350" i="3" s="1"/>
  <c r="M351" i="3"/>
  <c r="N351" i="3" s="1"/>
  <c r="M352" i="3"/>
  <c r="N352" i="3" s="1"/>
  <c r="M353" i="3"/>
  <c r="N353" i="3" s="1"/>
  <c r="M354" i="3"/>
  <c r="N354" i="3" s="1"/>
  <c r="M355" i="3"/>
  <c r="N355" i="3" s="1"/>
  <c r="M356" i="3"/>
  <c r="N356" i="3" s="1"/>
  <c r="M357" i="3"/>
  <c r="N357" i="3" s="1"/>
  <c r="M358" i="3"/>
  <c r="N358" i="3" s="1"/>
  <c r="M359" i="3"/>
  <c r="N359" i="3" s="1"/>
  <c r="M360" i="3"/>
  <c r="N360" i="3" s="1"/>
  <c r="M361" i="3"/>
  <c r="N361" i="3" s="1"/>
  <c r="M362" i="3"/>
  <c r="N362" i="3" s="1"/>
  <c r="M363" i="3"/>
  <c r="N363" i="3" s="1"/>
  <c r="M364" i="3"/>
  <c r="N364" i="3" s="1"/>
  <c r="M365" i="3"/>
  <c r="N365" i="3" s="1"/>
  <c r="M366" i="3"/>
  <c r="N366" i="3" s="1"/>
  <c r="M367" i="3"/>
  <c r="N367" i="3" s="1"/>
  <c r="M368" i="3"/>
  <c r="N368" i="3" s="1"/>
  <c r="M369" i="3"/>
  <c r="N369" i="3" s="1"/>
  <c r="M370" i="3"/>
  <c r="N370" i="3" s="1"/>
  <c r="M371" i="3"/>
  <c r="N371" i="3" s="1"/>
  <c r="M372" i="3"/>
  <c r="N372" i="3" s="1"/>
  <c r="M373" i="3"/>
  <c r="N373" i="3" s="1"/>
  <c r="M374" i="3"/>
  <c r="N374" i="3" s="1"/>
  <c r="M375" i="3"/>
  <c r="N375" i="3" s="1"/>
  <c r="M376" i="3"/>
  <c r="N376" i="3" s="1"/>
  <c r="M377" i="3"/>
  <c r="N377" i="3" s="1"/>
  <c r="M378" i="3"/>
  <c r="N378" i="3" s="1"/>
  <c r="M379" i="3"/>
  <c r="N379" i="3" s="1"/>
  <c r="M380" i="3"/>
  <c r="N380" i="3" s="1"/>
  <c r="M381" i="3"/>
  <c r="N381" i="3" s="1"/>
  <c r="M382" i="3"/>
  <c r="N382" i="3" s="1"/>
  <c r="M383" i="3"/>
  <c r="N383" i="3" s="1"/>
  <c r="M384" i="3"/>
  <c r="N384" i="3" s="1"/>
  <c r="M385" i="3"/>
  <c r="N385" i="3" s="1"/>
  <c r="M386" i="3"/>
  <c r="N386" i="3" s="1"/>
  <c r="M387" i="3"/>
  <c r="N387" i="3" s="1"/>
  <c r="M388" i="3"/>
  <c r="N388" i="3" s="1"/>
  <c r="M389" i="3"/>
  <c r="N389" i="3" s="1"/>
  <c r="M390" i="3"/>
  <c r="N390" i="3" s="1"/>
  <c r="M391" i="3"/>
  <c r="N391" i="3" s="1"/>
  <c r="M392" i="3"/>
  <c r="N392" i="3" s="1"/>
  <c r="M393" i="3"/>
  <c r="N393" i="3" s="1"/>
  <c r="M394" i="3"/>
  <c r="N394" i="3" s="1"/>
  <c r="M395" i="3"/>
  <c r="N395" i="3" s="1"/>
  <c r="M396" i="3"/>
  <c r="N396" i="3" s="1"/>
  <c r="M397" i="3"/>
  <c r="N397" i="3" s="1"/>
  <c r="M398" i="3"/>
  <c r="N398" i="3" s="1"/>
  <c r="M399" i="3"/>
  <c r="N399" i="3" s="1"/>
  <c r="M400" i="3"/>
  <c r="N400" i="3" s="1"/>
  <c r="M401" i="3"/>
  <c r="N401" i="3" s="1"/>
  <c r="M402" i="3"/>
  <c r="N402" i="3" s="1"/>
  <c r="M403" i="3"/>
  <c r="N403" i="3" s="1"/>
  <c r="M404" i="3"/>
  <c r="N404" i="3" s="1"/>
  <c r="M405" i="3"/>
  <c r="N405" i="3" s="1"/>
  <c r="M406" i="3"/>
  <c r="N406" i="3" s="1"/>
  <c r="M407" i="3"/>
  <c r="N407" i="3" s="1"/>
  <c r="M408" i="3"/>
  <c r="N408" i="3" s="1"/>
  <c r="M409" i="3"/>
  <c r="N409" i="3" s="1"/>
  <c r="M410" i="3"/>
  <c r="N410" i="3" s="1"/>
  <c r="M411" i="3"/>
  <c r="N411" i="3" s="1"/>
  <c r="M412" i="3"/>
  <c r="N412" i="3" s="1"/>
  <c r="M413" i="3"/>
  <c r="N413" i="3" s="1"/>
  <c r="M414" i="3"/>
  <c r="N414" i="3" s="1"/>
  <c r="M415" i="3"/>
  <c r="N415" i="3" s="1"/>
  <c r="M416" i="3"/>
  <c r="N416" i="3" s="1"/>
  <c r="M417" i="3"/>
  <c r="N417" i="3" s="1"/>
  <c r="M418" i="3"/>
  <c r="N418" i="3" s="1"/>
  <c r="M419" i="3"/>
  <c r="N419" i="3" s="1"/>
  <c r="M420" i="3"/>
  <c r="N420" i="3" s="1"/>
  <c r="M421" i="3"/>
  <c r="N421" i="3" s="1"/>
  <c r="M422" i="3"/>
  <c r="N422" i="3" s="1"/>
  <c r="M423" i="3"/>
  <c r="N423" i="3" s="1"/>
  <c r="M424" i="3"/>
  <c r="N424" i="3" s="1"/>
  <c r="M425" i="3"/>
  <c r="N425" i="3" s="1"/>
  <c r="M426" i="3"/>
  <c r="N426" i="3" s="1"/>
  <c r="M427" i="3"/>
  <c r="N427" i="3" s="1"/>
  <c r="M428" i="3"/>
  <c r="N428" i="3" s="1"/>
  <c r="M429" i="3"/>
  <c r="N429" i="3" s="1"/>
  <c r="M430" i="3"/>
  <c r="N430" i="3" s="1"/>
  <c r="M431" i="3"/>
  <c r="N431" i="3" s="1"/>
  <c r="M432" i="3"/>
  <c r="N432" i="3" s="1"/>
  <c r="M433" i="3"/>
  <c r="N433" i="3" s="1"/>
  <c r="M434" i="3"/>
  <c r="N434" i="3" s="1"/>
  <c r="M435" i="3"/>
  <c r="N435" i="3" s="1"/>
  <c r="M436" i="3"/>
  <c r="N436" i="3" s="1"/>
  <c r="M437" i="3"/>
  <c r="N437" i="3" s="1"/>
  <c r="M438" i="3"/>
  <c r="N438" i="3" s="1"/>
  <c r="M439" i="3"/>
  <c r="N439" i="3" s="1"/>
  <c r="M440" i="3"/>
  <c r="N440" i="3" s="1"/>
  <c r="M441" i="3"/>
  <c r="N441" i="3" s="1"/>
  <c r="M442" i="3"/>
  <c r="N442" i="3" s="1"/>
  <c r="M443" i="3"/>
  <c r="N443" i="3" s="1"/>
  <c r="M444" i="3"/>
  <c r="N444" i="3" s="1"/>
  <c r="M445" i="3"/>
  <c r="N445" i="3" s="1"/>
  <c r="M446" i="3"/>
  <c r="N446" i="3" s="1"/>
  <c r="M447" i="3"/>
  <c r="N447" i="3" s="1"/>
  <c r="M448" i="3"/>
  <c r="N448" i="3" s="1"/>
  <c r="M449" i="3"/>
  <c r="N449" i="3" s="1"/>
  <c r="M450" i="3"/>
  <c r="N450" i="3" s="1"/>
  <c r="M451" i="3"/>
  <c r="N451" i="3" s="1"/>
  <c r="M452" i="3"/>
  <c r="N452" i="3" s="1"/>
  <c r="M453" i="3"/>
  <c r="N453" i="3" s="1"/>
  <c r="M454" i="3"/>
  <c r="N454" i="3" s="1"/>
  <c r="M455" i="3"/>
  <c r="N455" i="3" s="1"/>
  <c r="M456" i="3"/>
  <c r="N456" i="3" s="1"/>
  <c r="M457" i="3"/>
  <c r="N457" i="3" s="1"/>
  <c r="M458" i="3"/>
  <c r="N458" i="3" s="1"/>
  <c r="M459" i="3"/>
  <c r="N459" i="3" s="1"/>
  <c r="M460" i="3"/>
  <c r="N460" i="3" s="1"/>
  <c r="M461" i="3"/>
  <c r="N461" i="3" s="1"/>
  <c r="M462" i="3"/>
  <c r="N462" i="3" s="1"/>
  <c r="M463" i="3"/>
  <c r="N463" i="3" s="1"/>
  <c r="M464" i="3"/>
  <c r="N464" i="3" s="1"/>
  <c r="M465" i="3"/>
  <c r="N465" i="3" s="1"/>
  <c r="M466" i="3"/>
  <c r="N466" i="3" s="1"/>
  <c r="M467" i="3"/>
  <c r="N467" i="3" s="1"/>
  <c r="M468" i="3"/>
  <c r="N468" i="3" s="1"/>
  <c r="M469" i="3"/>
  <c r="N469" i="3" s="1"/>
  <c r="M470" i="3"/>
  <c r="N470" i="3" s="1"/>
  <c r="M471" i="3"/>
  <c r="N471" i="3" s="1"/>
  <c r="M472" i="3"/>
  <c r="N472" i="3" s="1"/>
  <c r="M473" i="3"/>
  <c r="N473" i="3" s="1"/>
  <c r="M474" i="3"/>
  <c r="N474" i="3" s="1"/>
  <c r="M475" i="3"/>
  <c r="N475" i="3" s="1"/>
  <c r="M476" i="3"/>
  <c r="N476" i="3" s="1"/>
  <c r="M477" i="3"/>
  <c r="N477" i="3" s="1"/>
  <c r="M478" i="3"/>
  <c r="N478" i="3" s="1"/>
  <c r="M479" i="3"/>
  <c r="N479" i="3" s="1"/>
  <c r="M480" i="3"/>
  <c r="N480" i="3" s="1"/>
  <c r="M481" i="3"/>
  <c r="N481" i="3" s="1"/>
  <c r="M482" i="3"/>
  <c r="N482" i="3" s="1"/>
  <c r="M483" i="3"/>
  <c r="N483" i="3" s="1"/>
  <c r="M484" i="3"/>
  <c r="N484" i="3" s="1"/>
  <c r="M485" i="3"/>
  <c r="N485" i="3" s="1"/>
  <c r="M486" i="3"/>
  <c r="N486" i="3" s="1"/>
  <c r="M487" i="3"/>
  <c r="N487" i="3" s="1"/>
  <c r="M488" i="3"/>
  <c r="N488" i="3" s="1"/>
  <c r="M489" i="3"/>
  <c r="N489" i="3" s="1"/>
  <c r="M490" i="3"/>
  <c r="N490" i="3" s="1"/>
  <c r="M491" i="3"/>
  <c r="N491" i="3" s="1"/>
  <c r="M492" i="3"/>
  <c r="N492" i="3" s="1"/>
  <c r="M493" i="3"/>
  <c r="N493" i="3" s="1"/>
  <c r="M494" i="3"/>
  <c r="N494" i="3" s="1"/>
  <c r="M495" i="3"/>
  <c r="N495" i="3" s="1"/>
  <c r="M496" i="3"/>
  <c r="N496" i="3" s="1"/>
  <c r="M497" i="3"/>
  <c r="N497" i="3" s="1"/>
  <c r="M498" i="3"/>
  <c r="N498" i="3" s="1"/>
  <c r="M499" i="3"/>
  <c r="N499" i="3" s="1"/>
  <c r="M500" i="3"/>
  <c r="N500" i="3" s="1"/>
  <c r="M501" i="3"/>
  <c r="N501" i="3" s="1"/>
  <c r="M502" i="3"/>
  <c r="N502" i="3" s="1"/>
  <c r="M503" i="3"/>
  <c r="N503" i="3" s="1"/>
  <c r="M504" i="3"/>
  <c r="N504" i="3" s="1"/>
  <c r="M505" i="3"/>
  <c r="N505" i="3" s="1"/>
  <c r="M506" i="3"/>
  <c r="N506" i="3" s="1"/>
  <c r="M507" i="3"/>
  <c r="N507" i="3" s="1"/>
  <c r="M508" i="3"/>
  <c r="N508" i="3" s="1"/>
  <c r="M509" i="3"/>
  <c r="N509" i="3" s="1"/>
  <c r="M510" i="3"/>
  <c r="N510" i="3" s="1"/>
  <c r="M511" i="3"/>
  <c r="N511" i="3" s="1"/>
  <c r="M512" i="3"/>
  <c r="N512" i="3" s="1"/>
  <c r="M513" i="3"/>
  <c r="N513" i="3" s="1"/>
  <c r="M514" i="3"/>
  <c r="N514" i="3" s="1"/>
  <c r="M515" i="3"/>
  <c r="N515" i="3" s="1"/>
  <c r="M516" i="3"/>
  <c r="N516" i="3" s="1"/>
  <c r="M517" i="3"/>
  <c r="N517" i="3" s="1"/>
  <c r="M518" i="3"/>
  <c r="N518" i="3" s="1"/>
  <c r="M519" i="3"/>
  <c r="N519" i="3" s="1"/>
  <c r="M520" i="3"/>
  <c r="N520" i="3" s="1"/>
  <c r="M521" i="3"/>
  <c r="N521" i="3" s="1"/>
  <c r="M522" i="3"/>
  <c r="N522" i="3" s="1"/>
  <c r="M523" i="3"/>
  <c r="N523" i="3" s="1"/>
  <c r="M524" i="3"/>
  <c r="N524" i="3" s="1"/>
  <c r="M525" i="3"/>
  <c r="N525" i="3" s="1"/>
  <c r="M526" i="3"/>
  <c r="N526" i="3" s="1"/>
  <c r="M527" i="3"/>
  <c r="N527" i="3" s="1"/>
  <c r="M528" i="3"/>
  <c r="N528" i="3" s="1"/>
  <c r="M529" i="3"/>
  <c r="N529" i="3" s="1"/>
  <c r="M530" i="3"/>
  <c r="N530" i="3" s="1"/>
  <c r="M531" i="3"/>
  <c r="N531" i="3" s="1"/>
  <c r="M532" i="3"/>
  <c r="N532" i="3" s="1"/>
  <c r="M533" i="3"/>
  <c r="N533" i="3" s="1"/>
  <c r="M534" i="3"/>
  <c r="N534" i="3" s="1"/>
  <c r="M535" i="3"/>
  <c r="N535" i="3" s="1"/>
  <c r="M536" i="3"/>
  <c r="N536" i="3" s="1"/>
  <c r="M537" i="3"/>
  <c r="N537" i="3" s="1"/>
  <c r="M538" i="3"/>
  <c r="N538" i="3" s="1"/>
  <c r="M539" i="3"/>
  <c r="N539" i="3" s="1"/>
  <c r="M540" i="3"/>
  <c r="N540" i="3" s="1"/>
  <c r="M541" i="3"/>
  <c r="N541" i="3" s="1"/>
  <c r="M542" i="3"/>
  <c r="N542" i="3" s="1"/>
  <c r="M543" i="3"/>
  <c r="N543" i="3" s="1"/>
  <c r="M544" i="3"/>
  <c r="N544" i="3" s="1"/>
  <c r="M545" i="3"/>
  <c r="N545" i="3" s="1"/>
  <c r="M546" i="3"/>
  <c r="N546" i="3" s="1"/>
  <c r="M547" i="3"/>
  <c r="N547" i="3" s="1"/>
  <c r="M548" i="3"/>
  <c r="N548" i="3" s="1"/>
</calcChain>
</file>

<file path=xl/sharedStrings.xml><?xml version="1.0" encoding="utf-8"?>
<sst xmlns="http://schemas.openxmlformats.org/spreadsheetml/2006/main" count="10032" uniqueCount="1524">
  <si>
    <t>merchant_id</t>
  </si>
  <si>
    <t>merchant_name</t>
  </si>
  <si>
    <t>category</t>
  </si>
  <si>
    <t>region</t>
  </si>
  <si>
    <t>1</t>
  </si>
  <si>
    <t>Merchant_001</t>
  </si>
  <si>
    <t>ecommerce</t>
  </si>
  <si>
    <t>South</t>
  </si>
  <si>
    <t>2</t>
  </si>
  <si>
    <t>Merchant_002</t>
  </si>
  <si>
    <t>grocery</t>
  </si>
  <si>
    <t>West</t>
  </si>
  <si>
    <t>3</t>
  </si>
  <si>
    <t>Merchant_003</t>
  </si>
  <si>
    <t>East</t>
  </si>
  <si>
    <t>4</t>
  </si>
  <si>
    <t>Merchant_004</t>
  </si>
  <si>
    <t>5</t>
  </si>
  <si>
    <t>Merchant_005</t>
  </si>
  <si>
    <t>recharge</t>
  </si>
  <si>
    <t>6</t>
  </si>
  <si>
    <t>Merchant_006</t>
  </si>
  <si>
    <t>food_delivery</t>
  </si>
  <si>
    <t>7</t>
  </si>
  <si>
    <t>Merchant_007</t>
  </si>
  <si>
    <t>8</t>
  </si>
  <si>
    <t>Merchant_008</t>
  </si>
  <si>
    <t>North</t>
  </si>
  <si>
    <t>9</t>
  </si>
  <si>
    <t>Merchant_009</t>
  </si>
  <si>
    <t>10</t>
  </si>
  <si>
    <t>Merchant_010</t>
  </si>
  <si>
    <t>11</t>
  </si>
  <si>
    <t>Merchant_011</t>
  </si>
  <si>
    <t>12</t>
  </si>
  <si>
    <t>Merchant_012</t>
  </si>
  <si>
    <t>13</t>
  </si>
  <si>
    <t>Merchant_013</t>
  </si>
  <si>
    <t>travel</t>
  </si>
  <si>
    <t>14</t>
  </si>
  <si>
    <t>Merchant_014</t>
  </si>
  <si>
    <t>15</t>
  </si>
  <si>
    <t>Merchant_015</t>
  </si>
  <si>
    <t>16</t>
  </si>
  <si>
    <t>Merchant_016</t>
  </si>
  <si>
    <t>bill_payment</t>
  </si>
  <si>
    <t>17</t>
  </si>
  <si>
    <t>Merchant_017</t>
  </si>
  <si>
    <t>18</t>
  </si>
  <si>
    <t>Merchant_018</t>
  </si>
  <si>
    <t>19</t>
  </si>
  <si>
    <t>Merchant_019</t>
  </si>
  <si>
    <t>20</t>
  </si>
  <si>
    <t>Merchant_020</t>
  </si>
  <si>
    <t>21</t>
  </si>
  <si>
    <t>Merchant_021</t>
  </si>
  <si>
    <t>22</t>
  </si>
  <si>
    <t>Merchant_022</t>
  </si>
  <si>
    <t>23</t>
  </si>
  <si>
    <t>Merchant_023</t>
  </si>
  <si>
    <t>24</t>
  </si>
  <si>
    <t>Merchant_024</t>
  </si>
  <si>
    <t>25</t>
  </si>
  <si>
    <t>Merchant_025</t>
  </si>
  <si>
    <t>26</t>
  </si>
  <si>
    <t>Merchant_026</t>
  </si>
  <si>
    <t>27</t>
  </si>
  <si>
    <t>Merchant_027</t>
  </si>
  <si>
    <t>28</t>
  </si>
  <si>
    <t>Merchant_028</t>
  </si>
  <si>
    <t>29</t>
  </si>
  <si>
    <t>Merchant_029</t>
  </si>
  <si>
    <t>30</t>
  </si>
  <si>
    <t>Merchant_030</t>
  </si>
  <si>
    <t>31</t>
  </si>
  <si>
    <t>Merchant_031</t>
  </si>
  <si>
    <t>32</t>
  </si>
  <si>
    <t>Merchant_032</t>
  </si>
  <si>
    <t>33</t>
  </si>
  <si>
    <t>Merchant_033</t>
  </si>
  <si>
    <t>34</t>
  </si>
  <si>
    <t>Merchant_034</t>
  </si>
  <si>
    <t>35</t>
  </si>
  <si>
    <t>Merchant_035</t>
  </si>
  <si>
    <t>36</t>
  </si>
  <si>
    <t>Merchant_036</t>
  </si>
  <si>
    <t>entertainment</t>
  </si>
  <si>
    <t>37</t>
  </si>
  <si>
    <t>Merchant_037</t>
  </si>
  <si>
    <t>38</t>
  </si>
  <si>
    <t>Merchant_038</t>
  </si>
  <si>
    <t>39</t>
  </si>
  <si>
    <t>Merchant_039</t>
  </si>
  <si>
    <t>40</t>
  </si>
  <si>
    <t>Merchant_040</t>
  </si>
  <si>
    <t>transaction_id</t>
  </si>
  <si>
    <t>user_id</t>
  </si>
  <si>
    <t>transaction_time</t>
  </si>
  <si>
    <t>amount_inr</t>
  </si>
  <si>
    <t>payment_method</t>
  </si>
  <si>
    <t>status</t>
  </si>
  <si>
    <t>risk_score</t>
  </si>
  <si>
    <t>TXN100000</t>
  </si>
  <si>
    <t>350</t>
  </si>
  <si>
    <t>2026-01-29 11:13:00</t>
  </si>
  <si>
    <t>2999</t>
  </si>
  <si>
    <t>Wallet</t>
  </si>
  <si>
    <t>captured</t>
  </si>
  <si>
    <t>85</t>
  </si>
  <si>
    <t>TXN100001</t>
  </si>
  <si>
    <t>287</t>
  </si>
  <si>
    <t>2026-01-04 11:49:00</t>
  </si>
  <si>
    <t>49</t>
  </si>
  <si>
    <t>UPI</t>
  </si>
  <si>
    <t>79</t>
  </si>
  <si>
    <t>TXN100002</t>
  </si>
  <si>
    <t>122</t>
  </si>
  <si>
    <t>2026-01-24 04:59:00</t>
  </si>
  <si>
    <t>1499</t>
  </si>
  <si>
    <t>TXN100003</t>
  </si>
  <si>
    <t>92</t>
  </si>
  <si>
    <t>2026-01-29 13:01:00</t>
  </si>
  <si>
    <t>Netbanking</t>
  </si>
  <si>
    <t>100</t>
  </si>
  <si>
    <t>TXN100004</t>
  </si>
  <si>
    <t>343</t>
  </si>
  <si>
    <t>2026-01-30 13:51:00</t>
  </si>
  <si>
    <t>99</t>
  </si>
  <si>
    <t>TXN100005</t>
  </si>
  <si>
    <t>196</t>
  </si>
  <si>
    <t>2026-01-06 22:06:00</t>
  </si>
  <si>
    <t>60</t>
  </si>
  <si>
    <t>TXN100006</t>
  </si>
  <si>
    <t>236</t>
  </si>
  <si>
    <t>2026-01-08 06:52:00</t>
  </si>
  <si>
    <t>TXN100007</t>
  </si>
  <si>
    <t>2026-01-27 07:14:00</t>
  </si>
  <si>
    <t>51</t>
  </si>
  <si>
    <t>TXN100008</t>
  </si>
  <si>
    <t>2026-01-11 08:55:00</t>
  </si>
  <si>
    <t>799</t>
  </si>
  <si>
    <t>44</t>
  </si>
  <si>
    <t>TXN100009</t>
  </si>
  <si>
    <t>348</t>
  </si>
  <si>
    <t>2026-01-21 16:25:00</t>
  </si>
  <si>
    <t>299</t>
  </si>
  <si>
    <t>42</t>
  </si>
  <si>
    <t>TXN100010</t>
  </si>
  <si>
    <t>134</t>
  </si>
  <si>
    <t>2026-01-01 03:56:00</t>
  </si>
  <si>
    <t>74</t>
  </si>
  <si>
    <t>TXN100011</t>
  </si>
  <si>
    <t>306</t>
  </si>
  <si>
    <t>2026-01-09 01:06:00</t>
  </si>
  <si>
    <t>Card</t>
  </si>
  <si>
    <t>failed</t>
  </si>
  <si>
    <t>TXN100012</t>
  </si>
  <si>
    <t>311</t>
  </si>
  <si>
    <t>2026-01-24 10:27:00</t>
  </si>
  <si>
    <t>TXN100013</t>
  </si>
  <si>
    <t>131</t>
  </si>
  <si>
    <t>2026-01-13 18:12:00</t>
  </si>
  <si>
    <t>90</t>
  </si>
  <si>
    <t>TXN100014</t>
  </si>
  <si>
    <t>276</t>
  </si>
  <si>
    <t>2026-01-14 00:33:00</t>
  </si>
  <si>
    <t>46</t>
  </si>
  <si>
    <t>TXN100015</t>
  </si>
  <si>
    <t>170</t>
  </si>
  <si>
    <t>2026-01-14 02:42:00</t>
  </si>
  <si>
    <t>TXN100016</t>
  </si>
  <si>
    <t>154</t>
  </si>
  <si>
    <t>2026-01-22 03:46:00</t>
  </si>
  <si>
    <t>TXN100017</t>
  </si>
  <si>
    <t>207</t>
  </si>
  <si>
    <t>2026-01-22 13:20:00</t>
  </si>
  <si>
    <t>70</t>
  </si>
  <si>
    <t>TXN100018</t>
  </si>
  <si>
    <t>341</t>
  </si>
  <si>
    <t>2026-01-05 06:26:00</t>
  </si>
  <si>
    <t>86</t>
  </si>
  <si>
    <t>TXN100019</t>
  </si>
  <si>
    <t>292</t>
  </si>
  <si>
    <t>2026-01-24 05:39:00</t>
  </si>
  <si>
    <t>TXN100020</t>
  </si>
  <si>
    <t>147</t>
  </si>
  <si>
    <t>2026-01-18 00:19:00</t>
  </si>
  <si>
    <t>55</t>
  </si>
  <si>
    <t>TXN100021</t>
  </si>
  <si>
    <t>336</t>
  </si>
  <si>
    <t>2026-01-26 18:38:00</t>
  </si>
  <si>
    <t>59</t>
  </si>
  <si>
    <t>TXN100022</t>
  </si>
  <si>
    <t>110</t>
  </si>
  <si>
    <t>2026-01-15 14:43:00</t>
  </si>
  <si>
    <t>TXN100023</t>
  </si>
  <si>
    <t>338</t>
  </si>
  <si>
    <t>2026-01-26 23:10:00</t>
  </si>
  <si>
    <t>chargeback</t>
  </si>
  <si>
    <t>TXN100024</t>
  </si>
  <si>
    <t>318</t>
  </si>
  <si>
    <t>2026-01-17 21:40:00</t>
  </si>
  <si>
    <t>TXN100025</t>
  </si>
  <si>
    <t>159</t>
  </si>
  <si>
    <t>2026-01-27 07:43:00</t>
  </si>
  <si>
    <t>TXN100026</t>
  </si>
  <si>
    <t>126</t>
  </si>
  <si>
    <t>2026-01-05 00:02:00</t>
  </si>
  <si>
    <t>78</t>
  </si>
  <si>
    <t>TXN100027</t>
  </si>
  <si>
    <t>213</t>
  </si>
  <si>
    <t>2026-01-28 02:29:00</t>
  </si>
  <si>
    <t>TXN100028</t>
  </si>
  <si>
    <t>254</t>
  </si>
  <si>
    <t>2026-01-23 22:24:00</t>
  </si>
  <si>
    <t>TXN100029</t>
  </si>
  <si>
    <t>2026-01-05 20:44:00</t>
  </si>
  <si>
    <t>TXN100030</t>
  </si>
  <si>
    <t>266</t>
  </si>
  <si>
    <t>2026-01-14 07:11:00</t>
  </si>
  <si>
    <t>499</t>
  </si>
  <si>
    <t>TXN100031</t>
  </si>
  <si>
    <t>63</t>
  </si>
  <si>
    <t>2026-01-18 07:58:00</t>
  </si>
  <si>
    <t>TXN100032</t>
  </si>
  <si>
    <t>272</t>
  </si>
  <si>
    <t>2026-01-26 14:42:00</t>
  </si>
  <si>
    <t>149</t>
  </si>
  <si>
    <t>76</t>
  </si>
  <si>
    <t>TXN100033</t>
  </si>
  <si>
    <t>259</t>
  </si>
  <si>
    <t>2026-01-11 14:39:00</t>
  </si>
  <si>
    <t>TXN100034</t>
  </si>
  <si>
    <t>244</t>
  </si>
  <si>
    <t>2026-01-15 05:47:00</t>
  </si>
  <si>
    <t>TXN100035</t>
  </si>
  <si>
    <t>327</t>
  </si>
  <si>
    <t>2026-01-25 07:53:00</t>
  </si>
  <si>
    <t>98</t>
  </si>
  <si>
    <t>TXN100036</t>
  </si>
  <si>
    <t>321</t>
  </si>
  <si>
    <t>2026-01-25 16:31:00</t>
  </si>
  <si>
    <t>TXN100037</t>
  </si>
  <si>
    <t>2026-01-15 02:45:00</t>
  </si>
  <si>
    <t>TXN100038</t>
  </si>
  <si>
    <t>277</t>
  </si>
  <si>
    <t>2026-01-11 10:57:00</t>
  </si>
  <si>
    <t>TXN100039</t>
  </si>
  <si>
    <t>2026-01-05 07:24:00</t>
  </si>
  <si>
    <t>TXN100040</t>
  </si>
  <si>
    <t>278</t>
  </si>
  <si>
    <t>2026-01-14 13:21:00</t>
  </si>
  <si>
    <t>53</t>
  </si>
  <si>
    <t>TXN100041</t>
  </si>
  <si>
    <t>216</t>
  </si>
  <si>
    <t>2026-01-02 06:53:00</t>
  </si>
  <si>
    <t>TXN100042</t>
  </si>
  <si>
    <t>295</t>
  </si>
  <si>
    <t>2026-01-19 22:01:00</t>
  </si>
  <si>
    <t>61</t>
  </si>
  <si>
    <t>TXN100043</t>
  </si>
  <si>
    <t>200</t>
  </si>
  <si>
    <t>2026-01-01 11:19:00</t>
  </si>
  <si>
    <t>68</t>
  </si>
  <si>
    <t>TXN100044</t>
  </si>
  <si>
    <t>309</t>
  </si>
  <si>
    <t>2026-01-24 23:34:00</t>
  </si>
  <si>
    <t>62</t>
  </si>
  <si>
    <t>TXN100045</t>
  </si>
  <si>
    <t>249</t>
  </si>
  <si>
    <t>2026-01-08 08:27:00</t>
  </si>
  <si>
    <t>TXN100046</t>
  </si>
  <si>
    <t>208</t>
  </si>
  <si>
    <t>2026-01-11 21:43:00</t>
  </si>
  <si>
    <t>4999</t>
  </si>
  <si>
    <t>TXN100047</t>
  </si>
  <si>
    <t>274</t>
  </si>
  <si>
    <t>2026-01-30 04:39:00</t>
  </si>
  <si>
    <t>50</t>
  </si>
  <si>
    <t>TXN100048</t>
  </si>
  <si>
    <t>2026-01-19 18:42:00</t>
  </si>
  <si>
    <t>82</t>
  </si>
  <si>
    <t>TXN100049</t>
  </si>
  <si>
    <t>237</t>
  </si>
  <si>
    <t>2026-01-14 04:55:00</t>
  </si>
  <si>
    <t>TXN100050</t>
  </si>
  <si>
    <t>109</t>
  </si>
  <si>
    <t>2026-01-09 12:20:00</t>
  </si>
  <si>
    <t>41</t>
  </si>
  <si>
    <t>TXN100051</t>
  </si>
  <si>
    <t>2026-01-11 12:17:00</t>
  </si>
  <si>
    <t>TXN100052</t>
  </si>
  <si>
    <t>2026-01-16 00:47:00</t>
  </si>
  <si>
    <t>TXN100053</t>
  </si>
  <si>
    <t>334</t>
  </si>
  <si>
    <t>2026-01-08 20:04:00</t>
  </si>
  <si>
    <t>96</t>
  </si>
  <si>
    <t>TXN100054</t>
  </si>
  <si>
    <t>2026-01-01 07:12:00</t>
  </si>
  <si>
    <t>TXN100055</t>
  </si>
  <si>
    <t>2026-01-08 04:30:00</t>
  </si>
  <si>
    <t>72</t>
  </si>
  <si>
    <t>TXN100056</t>
  </si>
  <si>
    <t>132</t>
  </si>
  <si>
    <t>2026-01-07 14:44:00</t>
  </si>
  <si>
    <t>TXN100057</t>
  </si>
  <si>
    <t>2026-01-20 19:47:00</t>
  </si>
  <si>
    <t>TXN100058</t>
  </si>
  <si>
    <t>160</t>
  </si>
  <si>
    <t>2026-01-04 18:01:00</t>
  </si>
  <si>
    <t>TXN100059</t>
  </si>
  <si>
    <t>102</t>
  </si>
  <si>
    <t>2026-01-30 12:25:00</t>
  </si>
  <si>
    <t>75</t>
  </si>
  <si>
    <t>TXN100060</t>
  </si>
  <si>
    <t>2026-01-23 20:15:00</t>
  </si>
  <si>
    <t>87</t>
  </si>
  <si>
    <t>TXN100061</t>
  </si>
  <si>
    <t>290</t>
  </si>
  <si>
    <t>2026-01-20 03:50:00</t>
  </si>
  <si>
    <t>TXN100062</t>
  </si>
  <si>
    <t>190</t>
  </si>
  <si>
    <t>2026-01-18 13:42:00</t>
  </si>
  <si>
    <t>64</t>
  </si>
  <si>
    <t>TXN100063</t>
  </si>
  <si>
    <t>2026-01-21 10:00:00</t>
  </si>
  <si>
    <t>TXN100064</t>
  </si>
  <si>
    <t>2026-01-14 11:40:00</t>
  </si>
  <si>
    <t>TXN100065</t>
  </si>
  <si>
    <t>2026-01-06 23:33:00</t>
  </si>
  <si>
    <t>TXN100066</t>
  </si>
  <si>
    <t>248</t>
  </si>
  <si>
    <t>2026-01-26 17:49:00</t>
  </si>
  <si>
    <t>TXN100067</t>
  </si>
  <si>
    <t>138</t>
  </si>
  <si>
    <t>2026-01-27 23:37:00</t>
  </si>
  <si>
    <t>TXN100068</t>
  </si>
  <si>
    <t>231</t>
  </si>
  <si>
    <t>2026-01-27 02:17:00</t>
  </si>
  <si>
    <t>TXN100069</t>
  </si>
  <si>
    <t>2026-01-15 18:39:00</t>
  </si>
  <si>
    <t>43</t>
  </si>
  <si>
    <t>TXN100070</t>
  </si>
  <si>
    <t>167</t>
  </si>
  <si>
    <t>2026-01-01 15:54:00</t>
  </si>
  <si>
    <t>TXN100071</t>
  </si>
  <si>
    <t>133</t>
  </si>
  <si>
    <t>2026-01-07 11:51:00</t>
  </si>
  <si>
    <t>TXN100072</t>
  </si>
  <si>
    <t>142</t>
  </si>
  <si>
    <t>2026-01-29 19:44:00</t>
  </si>
  <si>
    <t>TXN100073</t>
  </si>
  <si>
    <t>124</t>
  </si>
  <si>
    <t>2026-01-17 06:05:00</t>
  </si>
  <si>
    <t>TXN100074</t>
  </si>
  <si>
    <t>2026-01-18 07:44:00</t>
  </si>
  <si>
    <t>57</t>
  </si>
  <si>
    <t>TXN100075</t>
  </si>
  <si>
    <t>151</t>
  </si>
  <si>
    <t>2026-01-26 00:05:00</t>
  </si>
  <si>
    <t>TXN100076</t>
  </si>
  <si>
    <t>340</t>
  </si>
  <si>
    <t>2026-01-23 07:19:00</t>
  </si>
  <si>
    <t>47</t>
  </si>
  <si>
    <t>TXN100077</t>
  </si>
  <si>
    <t>177</t>
  </si>
  <si>
    <t>2026-01-16 17:33:00</t>
  </si>
  <si>
    <t>95</t>
  </si>
  <si>
    <t>TXN100078</t>
  </si>
  <si>
    <t>233</t>
  </si>
  <si>
    <t>2026-01-18 10:22:00</t>
  </si>
  <si>
    <t>TXN100079</t>
  </si>
  <si>
    <t>2026-01-09 07:07:00</t>
  </si>
  <si>
    <t>TXN100080</t>
  </si>
  <si>
    <t>2026-01-24 17:48:00</t>
  </si>
  <si>
    <t>TXN100081</t>
  </si>
  <si>
    <t>302</t>
  </si>
  <si>
    <t>2026-01-24 15:17:00</t>
  </si>
  <si>
    <t>TXN100082</t>
  </si>
  <si>
    <t>2026-01-10 03:53:00</t>
  </si>
  <si>
    <t>TXN100083</t>
  </si>
  <si>
    <t>2026-01-12 05:19:00</t>
  </si>
  <si>
    <t>TXN100084</t>
  </si>
  <si>
    <t>284</t>
  </si>
  <si>
    <t>2026-01-09 01:03:00</t>
  </si>
  <si>
    <t>89</t>
  </si>
  <si>
    <t>TXN100085</t>
  </si>
  <si>
    <t>252</t>
  </si>
  <si>
    <t>2026-01-05 20:55:00</t>
  </si>
  <si>
    <t>TXN100086</t>
  </si>
  <si>
    <t>246</t>
  </si>
  <si>
    <t>2026-01-19 09:30:00</t>
  </si>
  <si>
    <t>TXN100087</t>
  </si>
  <si>
    <t>245</t>
  </si>
  <si>
    <t>2026-01-06 01:16:00</t>
  </si>
  <si>
    <t>TXN100088</t>
  </si>
  <si>
    <t>296</t>
  </si>
  <si>
    <t>2026-01-13 15:04:00</t>
  </si>
  <si>
    <t>TXN100089</t>
  </si>
  <si>
    <t>2026-01-05 18:19:00</t>
  </si>
  <si>
    <t>TXN100090</t>
  </si>
  <si>
    <t>2026-01-18 13:38:00</t>
  </si>
  <si>
    <t>TXN100091</t>
  </si>
  <si>
    <t>2026-01-25 16:24:00</t>
  </si>
  <si>
    <t>TXN100092</t>
  </si>
  <si>
    <t>157</t>
  </si>
  <si>
    <t>2026-01-28 18:27:00</t>
  </si>
  <si>
    <t>TXN100093</t>
  </si>
  <si>
    <t>2026-01-02 19:47:00</t>
  </si>
  <si>
    <t>80</t>
  </si>
  <si>
    <t>TXN100094</t>
  </si>
  <si>
    <t>2026-01-07 08:42:00</t>
  </si>
  <si>
    <t>TXN100095</t>
  </si>
  <si>
    <t>81</t>
  </si>
  <si>
    <t>2026-01-06 17:04:00</t>
  </si>
  <si>
    <t>52</t>
  </si>
  <si>
    <t>TXN100096</t>
  </si>
  <si>
    <t>241</t>
  </si>
  <si>
    <t>2026-01-15 22:38:00</t>
  </si>
  <si>
    <t>TXN100097</t>
  </si>
  <si>
    <t>145</t>
  </si>
  <si>
    <t>2026-01-08 09:45:00</t>
  </si>
  <si>
    <t>TXN100098</t>
  </si>
  <si>
    <t>136</t>
  </si>
  <si>
    <t>2026-01-22 07:59:00</t>
  </si>
  <si>
    <t>84</t>
  </si>
  <si>
    <t>TXN100099</t>
  </si>
  <si>
    <t>2026-01-26 06:27:00</t>
  </si>
  <si>
    <t>TXN100100</t>
  </si>
  <si>
    <t>137</t>
  </si>
  <si>
    <t>2026-01-21 04:58:00</t>
  </si>
  <si>
    <t>TXN100101</t>
  </si>
  <si>
    <t>158</t>
  </si>
  <si>
    <t>2026-01-02 05:50:00</t>
  </si>
  <si>
    <t>TXN100102</t>
  </si>
  <si>
    <t>148</t>
  </si>
  <si>
    <t>2026-01-27 18:58:00</t>
  </si>
  <si>
    <t>TXN100103</t>
  </si>
  <si>
    <t>2026-01-15 22:19:00</t>
  </si>
  <si>
    <t>TXN100104</t>
  </si>
  <si>
    <t>2026-01-18 15:28:00</t>
  </si>
  <si>
    <t>TXN100105</t>
  </si>
  <si>
    <t>166</t>
  </si>
  <si>
    <t>2026-01-29 13:47:00</t>
  </si>
  <si>
    <t>TXN100106</t>
  </si>
  <si>
    <t>346</t>
  </si>
  <si>
    <t>2026-01-01 02:14:00</t>
  </si>
  <si>
    <t>TXN100107</t>
  </si>
  <si>
    <t>2026-01-01 21:52:00</t>
  </si>
  <si>
    <t>TXN100108</t>
  </si>
  <si>
    <t>2026-01-25 05:30:00</t>
  </si>
  <si>
    <t>TXN100109</t>
  </si>
  <si>
    <t>326</t>
  </si>
  <si>
    <t>2026-01-06 18:27:00</t>
  </si>
  <si>
    <t>TXN100110</t>
  </si>
  <si>
    <t>171</t>
  </si>
  <si>
    <t>2026-01-16 11:26:00</t>
  </si>
  <si>
    <t>TXN100111</t>
  </si>
  <si>
    <t>211</t>
  </si>
  <si>
    <t>2026-01-04 05:21:00</t>
  </si>
  <si>
    <t>TXN100112</t>
  </si>
  <si>
    <t>282</t>
  </si>
  <si>
    <t>2026-01-22 12:52:00</t>
  </si>
  <si>
    <t>58</t>
  </si>
  <si>
    <t>TXN100113</t>
  </si>
  <si>
    <t>2026-01-03 10:16:00</t>
  </si>
  <si>
    <t>TXN100114</t>
  </si>
  <si>
    <t>2026-01-13 16:52:00</t>
  </si>
  <si>
    <t>TXN100115</t>
  </si>
  <si>
    <t>2026-01-14 01:12:00</t>
  </si>
  <si>
    <t>TXN100116</t>
  </si>
  <si>
    <t>227</t>
  </si>
  <si>
    <t>2026-01-25 15:40:00</t>
  </si>
  <si>
    <t>TXN100117</t>
  </si>
  <si>
    <t>2026-01-09 17:08:00</t>
  </si>
  <si>
    <t>TXN100118</t>
  </si>
  <si>
    <t>323</t>
  </si>
  <si>
    <t>2026-01-16 03:01:00</t>
  </si>
  <si>
    <t>TXN100119</t>
  </si>
  <si>
    <t>283</t>
  </si>
  <si>
    <t>2026-01-23 05:19:00</t>
  </si>
  <si>
    <t>TXN100120</t>
  </si>
  <si>
    <t>2026-01-14 02:14:00</t>
  </si>
  <si>
    <t>TXN100121</t>
  </si>
  <si>
    <t>150</t>
  </si>
  <si>
    <t>2026-01-21 04:31:00</t>
  </si>
  <si>
    <t>TXN100122</t>
  </si>
  <si>
    <t>2026-01-09 13:53:00</t>
  </si>
  <si>
    <t>TXN100123</t>
  </si>
  <si>
    <t>197</t>
  </si>
  <si>
    <t>2026-01-15 17:09:00</t>
  </si>
  <si>
    <t>TXN100124</t>
  </si>
  <si>
    <t>2026-01-17 23:56:00</t>
  </si>
  <si>
    <t>TXN100125</t>
  </si>
  <si>
    <t>260</t>
  </si>
  <si>
    <t>2026-01-25 13:21:00</t>
  </si>
  <si>
    <t>0</t>
  </si>
  <si>
    <t>TXN100126</t>
  </si>
  <si>
    <t>301</t>
  </si>
  <si>
    <t>2026-01-10 23:19:00</t>
  </si>
  <si>
    <t>TXN100127</t>
  </si>
  <si>
    <t>2026-01-16 04:28:00</t>
  </si>
  <si>
    <t>TXN100128</t>
  </si>
  <si>
    <t>279</t>
  </si>
  <si>
    <t>2026-01-11 17:48:00</t>
  </si>
  <si>
    <t>TXN100129</t>
  </si>
  <si>
    <t>97</t>
  </si>
  <si>
    <t>2026-01-30 10:55:00</t>
  </si>
  <si>
    <t>73</t>
  </si>
  <si>
    <t>TXN100130</t>
  </si>
  <si>
    <t>2026-01-13 07:54:00</t>
  </si>
  <si>
    <t>TXN100131</t>
  </si>
  <si>
    <t>2026-01-24 15:45:00</t>
  </si>
  <si>
    <t>TXN100132</t>
  </si>
  <si>
    <t>2026-01-26 20:09:00</t>
  </si>
  <si>
    <t>TXN100133</t>
  </si>
  <si>
    <t>2026-01-17 18:21:00</t>
  </si>
  <si>
    <t>TXN100134</t>
  </si>
  <si>
    <t>2026-01-17 14:00:00</t>
  </si>
  <si>
    <t>83</t>
  </si>
  <si>
    <t>TXN100135</t>
  </si>
  <si>
    <t>2026-01-05 02:30:00</t>
  </si>
  <si>
    <t>TXN100136</t>
  </si>
  <si>
    <t>2026-01-23 12:41:00</t>
  </si>
  <si>
    <t>TXN100137</t>
  </si>
  <si>
    <t>163</t>
  </si>
  <si>
    <t>2026-01-28 17:24:00</t>
  </si>
  <si>
    <t>69</t>
  </si>
  <si>
    <t>TXN100138</t>
  </si>
  <si>
    <t>121</t>
  </si>
  <si>
    <t>2026-01-02 19:04:00</t>
  </si>
  <si>
    <t>TXN100139</t>
  </si>
  <si>
    <t>2026-01-24 02:27:00</t>
  </si>
  <si>
    <t>56</t>
  </si>
  <si>
    <t>TXN100140</t>
  </si>
  <si>
    <t>2026-01-06 22:19:00</t>
  </si>
  <si>
    <t>TXN100141</t>
  </si>
  <si>
    <t>184</t>
  </si>
  <si>
    <t>2026-01-26 01:18:00</t>
  </si>
  <si>
    <t>TXN100142</t>
  </si>
  <si>
    <t>2026-01-05 07:33:00</t>
  </si>
  <si>
    <t>TXN100143</t>
  </si>
  <si>
    <t>2026-01-26 05:10:00</t>
  </si>
  <si>
    <t>TXN100144</t>
  </si>
  <si>
    <t>2026-01-28 12:39:00</t>
  </si>
  <si>
    <t>TXN100145</t>
  </si>
  <si>
    <t>119</t>
  </si>
  <si>
    <t>2026-01-30 18:09:00</t>
  </si>
  <si>
    <t>TXN100146</t>
  </si>
  <si>
    <t>342</t>
  </si>
  <si>
    <t>2026-01-09 14:16:00</t>
  </si>
  <si>
    <t>TXN100147</t>
  </si>
  <si>
    <t>280</t>
  </si>
  <si>
    <t>2026-01-29 09:43:00</t>
  </si>
  <si>
    <t>TXN100148</t>
  </si>
  <si>
    <t>2026-01-15 11:37:00</t>
  </si>
  <si>
    <t>88</t>
  </si>
  <si>
    <t>TXN100149</t>
  </si>
  <si>
    <t>155</t>
  </si>
  <si>
    <t>2026-01-09 14:54:00</t>
  </si>
  <si>
    <t>TXN100150</t>
  </si>
  <si>
    <t>2026-01-28 15:06:00</t>
  </si>
  <si>
    <t>TXN100151</t>
  </si>
  <si>
    <t>152</t>
  </si>
  <si>
    <t>2026-01-12 18:18:00</t>
  </si>
  <si>
    <t>TXN100152</t>
  </si>
  <si>
    <t>2026-01-13 08:00:00</t>
  </si>
  <si>
    <t>77</t>
  </si>
  <si>
    <t>TXN100153</t>
  </si>
  <si>
    <t>2026-01-24 15:53:00</t>
  </si>
  <si>
    <t>TXN100154</t>
  </si>
  <si>
    <t>2026-01-26 11:14:00</t>
  </si>
  <si>
    <t>TXN100155</t>
  </si>
  <si>
    <t>2026-01-09 21:48:00</t>
  </si>
  <si>
    <t>TXN100156</t>
  </si>
  <si>
    <t>2026-01-04 20:41:00</t>
  </si>
  <si>
    <t>TXN100157</t>
  </si>
  <si>
    <t>187</t>
  </si>
  <si>
    <t>2026-01-15 01:37:00</t>
  </si>
  <si>
    <t>TXN100158</t>
  </si>
  <si>
    <t>2026-01-30 09:20:00</t>
  </si>
  <si>
    <t>TXN100159</t>
  </si>
  <si>
    <t>188</t>
  </si>
  <si>
    <t>2026-01-05 17:56:00</t>
  </si>
  <si>
    <t>TXN100160</t>
  </si>
  <si>
    <t>2026-01-30 08:53:00</t>
  </si>
  <si>
    <t>TXN100161</t>
  </si>
  <si>
    <t>174</t>
  </si>
  <si>
    <t>2026-01-26 09:47:00</t>
  </si>
  <si>
    <t>TXN100162</t>
  </si>
  <si>
    <t>116</t>
  </si>
  <si>
    <t>2026-01-03 04:48:00</t>
  </si>
  <si>
    <t>71</t>
  </si>
  <si>
    <t>TXN100163</t>
  </si>
  <si>
    <t>203</t>
  </si>
  <si>
    <t>2026-01-12 02:50:00</t>
  </si>
  <si>
    <t>TXN100164</t>
  </si>
  <si>
    <t>189</t>
  </si>
  <si>
    <t>2026-01-18 03:29:00</t>
  </si>
  <si>
    <t>TXN100165</t>
  </si>
  <si>
    <t>2026-01-13 20:23:00</t>
  </si>
  <si>
    <t>TXN100166</t>
  </si>
  <si>
    <t>288</t>
  </si>
  <si>
    <t>2026-01-01 19:56:00</t>
  </si>
  <si>
    <t>TXN100167</t>
  </si>
  <si>
    <t>TXN100168</t>
  </si>
  <si>
    <t>2026-01-10 20:26:00</t>
  </si>
  <si>
    <t>TXN100169</t>
  </si>
  <si>
    <t>2026-01-02 09:31:00</t>
  </si>
  <si>
    <t>TXN100170</t>
  </si>
  <si>
    <t>199</t>
  </si>
  <si>
    <t>2026-01-29 17:08:00</t>
  </si>
  <si>
    <t>TXN100171</t>
  </si>
  <si>
    <t>2026-01-22 23:44:00</t>
  </si>
  <si>
    <t>TXN100172</t>
  </si>
  <si>
    <t>2026-01-24 23:09:00</t>
  </si>
  <si>
    <t>TXN100173</t>
  </si>
  <si>
    <t>2026-01-20 13:17:00</t>
  </si>
  <si>
    <t>TXN100174</t>
  </si>
  <si>
    <t>186</t>
  </si>
  <si>
    <t>2026-01-15 14:15:00</t>
  </si>
  <si>
    <t>TXN100175</t>
  </si>
  <si>
    <t>331</t>
  </si>
  <si>
    <t>2026-01-12 17:57:00</t>
  </si>
  <si>
    <t>TXN100176</t>
  </si>
  <si>
    <t>2026-01-13 08:12:00</t>
  </si>
  <si>
    <t>TXN100177</t>
  </si>
  <si>
    <t>328</t>
  </si>
  <si>
    <t>2026-01-22 06:41:00</t>
  </si>
  <si>
    <t>TXN100178</t>
  </si>
  <si>
    <t>65</t>
  </si>
  <si>
    <t>2026-01-02 10:15:00</t>
  </si>
  <si>
    <t>TXN100179</t>
  </si>
  <si>
    <t>2026-01-03 17:13:00</t>
  </si>
  <si>
    <t>TXN100180</t>
  </si>
  <si>
    <t>2026-01-11 04:50:00</t>
  </si>
  <si>
    <t>TXN100181</t>
  </si>
  <si>
    <t>2026-01-28 04:08:00</t>
  </si>
  <si>
    <t>TXN100182</t>
  </si>
  <si>
    <t>2026-01-04 21:55:00</t>
  </si>
  <si>
    <t>TXN100183</t>
  </si>
  <si>
    <t>2026-01-12 07:37:00</t>
  </si>
  <si>
    <t>TXN100184</t>
  </si>
  <si>
    <t>2026-01-09 01:08:00</t>
  </si>
  <si>
    <t>TXN100185</t>
  </si>
  <si>
    <t>230</t>
  </si>
  <si>
    <t>2026-01-24 02:30:00</t>
  </si>
  <si>
    <t>TXN100186</t>
  </si>
  <si>
    <t>258</t>
  </si>
  <si>
    <t>2026-01-19 03:28:00</t>
  </si>
  <si>
    <t>TXN100187</t>
  </si>
  <si>
    <t>2026-01-02 23:50:00</t>
  </si>
  <si>
    <t>TXN100188</t>
  </si>
  <si>
    <t>2026-01-15 20:01:00</t>
  </si>
  <si>
    <t>TXN100189</t>
  </si>
  <si>
    <t>2026-01-14 21:06:00</t>
  </si>
  <si>
    <t>TXN100190</t>
  </si>
  <si>
    <t>312</t>
  </si>
  <si>
    <t>2026-01-29 02:20:00</t>
  </si>
  <si>
    <t>TXN100191</t>
  </si>
  <si>
    <t>325</t>
  </si>
  <si>
    <t>2026-01-05 08:39:00</t>
  </si>
  <si>
    <t>TXN100192</t>
  </si>
  <si>
    <t>2026-01-23 10:24:00</t>
  </si>
  <si>
    <t>TXN100193</t>
  </si>
  <si>
    <t>221</t>
  </si>
  <si>
    <t>2026-01-15 16:38:00</t>
  </si>
  <si>
    <t>TXN100194</t>
  </si>
  <si>
    <t>TXN100195</t>
  </si>
  <si>
    <t>2026-01-15 07:26:00</t>
  </si>
  <si>
    <t>TXN100196</t>
  </si>
  <si>
    <t>161</t>
  </si>
  <si>
    <t>2026-01-14 23:06:00</t>
  </si>
  <si>
    <t>TXN100197</t>
  </si>
  <si>
    <t>2026-01-22 08:23:00</t>
  </si>
  <si>
    <t>TXN100198</t>
  </si>
  <si>
    <t>222</t>
  </si>
  <si>
    <t>2026-01-03 02:05:00</t>
  </si>
  <si>
    <t>TXN100199</t>
  </si>
  <si>
    <t>67</t>
  </si>
  <si>
    <t>2026-01-24 11:51:00</t>
  </si>
  <si>
    <t>TXN100200</t>
  </si>
  <si>
    <t>169</t>
  </si>
  <si>
    <t>2026-01-19 17:35:00</t>
  </si>
  <si>
    <t>TXN100201</t>
  </si>
  <si>
    <t>217</t>
  </si>
  <si>
    <t>2026-01-12 21:48:00</t>
  </si>
  <si>
    <t>TXN100202</t>
  </si>
  <si>
    <t>54</t>
  </si>
  <si>
    <t>2026-01-20 09:22:00</t>
  </si>
  <si>
    <t>TXN100203</t>
  </si>
  <si>
    <t>247</t>
  </si>
  <si>
    <t>2026-01-07 04:42:00</t>
  </si>
  <si>
    <t>TXN100204</t>
  </si>
  <si>
    <t>2026-01-12 17:23:00</t>
  </si>
  <si>
    <t>TXN100205</t>
  </si>
  <si>
    <t>2026-01-08 13:54:00</t>
  </si>
  <si>
    <t>TXN100206</t>
  </si>
  <si>
    <t>2026-01-22 20:35:00</t>
  </si>
  <si>
    <t>TXN100207</t>
  </si>
  <si>
    <t>2026-01-27 22:17:00</t>
  </si>
  <si>
    <t>TXN100208</t>
  </si>
  <si>
    <t>2026-01-23 09:58:00</t>
  </si>
  <si>
    <t>TXN100209</t>
  </si>
  <si>
    <t>337</t>
  </si>
  <si>
    <t>2026-01-06 04:36:00</t>
  </si>
  <si>
    <t>TXN100210</t>
  </si>
  <si>
    <t>2026-01-05 23:40:00</t>
  </si>
  <si>
    <t>TXN100211</t>
  </si>
  <si>
    <t>215</t>
  </si>
  <si>
    <t>2026-01-17 06:24:00</t>
  </si>
  <si>
    <t>TXN100212</t>
  </si>
  <si>
    <t>2026-01-06 11:19:00</t>
  </si>
  <si>
    <t>TXN100213</t>
  </si>
  <si>
    <t>2026-01-03 01:09:00</t>
  </si>
  <si>
    <t>TXN100214</t>
  </si>
  <si>
    <t>2026-01-22 02:17:00</t>
  </si>
  <si>
    <t>TXN100215</t>
  </si>
  <si>
    <t>140</t>
  </si>
  <si>
    <t>2026-01-20 14:26:00</t>
  </si>
  <si>
    <t>TXN100216</t>
  </si>
  <si>
    <t>2026-01-17 03:22:00</t>
  </si>
  <si>
    <t>TXN100217</t>
  </si>
  <si>
    <t>250</t>
  </si>
  <si>
    <t>2026-01-22 21:37:00</t>
  </si>
  <si>
    <t>TXN100218</t>
  </si>
  <si>
    <t>2026-01-10 01:14:00</t>
  </si>
  <si>
    <t>TXN100219</t>
  </si>
  <si>
    <t>2026-01-01 06:19:00</t>
  </si>
  <si>
    <t>TXN100220</t>
  </si>
  <si>
    <t>2026-01-09 09:20:00</t>
  </si>
  <si>
    <t>TXN100221</t>
  </si>
  <si>
    <t>2026-01-24 13:11:00</t>
  </si>
  <si>
    <t>TXN100222</t>
  </si>
  <si>
    <t>2026-01-23 07:32:00</t>
  </si>
  <si>
    <t>TXN100223</t>
  </si>
  <si>
    <t>224</t>
  </si>
  <si>
    <t>2026-01-13 23:02:00</t>
  </si>
  <si>
    <t>TXN100224</t>
  </si>
  <si>
    <t>2026-01-30 02:55:00</t>
  </si>
  <si>
    <t>TXN100225</t>
  </si>
  <si>
    <t>2026-01-19 12:45:00</t>
  </si>
  <si>
    <t>TXN100226</t>
  </si>
  <si>
    <t>2026-01-04 12:01:00</t>
  </si>
  <si>
    <t>TXN100227</t>
  </si>
  <si>
    <t>2026-01-15 22:58:00</t>
  </si>
  <si>
    <t>TXN100228</t>
  </si>
  <si>
    <t>2026-01-28 03:15:00</t>
  </si>
  <si>
    <t>TXN100229</t>
  </si>
  <si>
    <t>2026-01-17 02:25:00</t>
  </si>
  <si>
    <t>TXN100230</t>
  </si>
  <si>
    <t>262</t>
  </si>
  <si>
    <t>2026-01-11 05:04:00</t>
  </si>
  <si>
    <t>TXN100231</t>
  </si>
  <si>
    <t>179</t>
  </si>
  <si>
    <t>2026-01-17 06:57:00</t>
  </si>
  <si>
    <t>93</t>
  </si>
  <si>
    <t>TXN100232</t>
  </si>
  <si>
    <t>2026-01-27 20:52:00</t>
  </si>
  <si>
    <t>TXN100233</t>
  </si>
  <si>
    <t>2026-01-05 08:12:00</t>
  </si>
  <si>
    <t>TXN100234</t>
  </si>
  <si>
    <t>91</t>
  </si>
  <si>
    <t>2026-01-25 20:04:00</t>
  </si>
  <si>
    <t>TXN100235</t>
  </si>
  <si>
    <t>297</t>
  </si>
  <si>
    <t>2026-01-25 18:48:00</t>
  </si>
  <si>
    <t>TXN100236</t>
  </si>
  <si>
    <t>2026-01-30 18:41:00</t>
  </si>
  <si>
    <t>TXN100237</t>
  </si>
  <si>
    <t>2026-01-28 20:20:00</t>
  </si>
  <si>
    <t>TXN100238</t>
  </si>
  <si>
    <t>156</t>
  </si>
  <si>
    <t>2026-01-16 14:40:00</t>
  </si>
  <si>
    <t>TXN100239</t>
  </si>
  <si>
    <t>2026-01-02 11:32:00</t>
  </si>
  <si>
    <t>TXN100240</t>
  </si>
  <si>
    <t>2026-01-15 01:03:00</t>
  </si>
  <si>
    <t>TXN100241</t>
  </si>
  <si>
    <t>305</t>
  </si>
  <si>
    <t>2026-01-21 02:39:00</t>
  </si>
  <si>
    <t>TXN100242</t>
  </si>
  <si>
    <t>2026-01-15 18:35:00</t>
  </si>
  <si>
    <t>TXN100243</t>
  </si>
  <si>
    <t>310</t>
  </si>
  <si>
    <t>2026-01-21 06:20:00</t>
  </si>
  <si>
    <t>TXN100244</t>
  </si>
  <si>
    <t>2026-01-05 01:28:00</t>
  </si>
  <si>
    <t>TXN100245</t>
  </si>
  <si>
    <t>2026-01-03 16:41:00</t>
  </si>
  <si>
    <t>TXN100246</t>
  </si>
  <si>
    <t>269</t>
  </si>
  <si>
    <t>2026-01-23 14:28:00</t>
  </si>
  <si>
    <t>TXN100247</t>
  </si>
  <si>
    <t>2026-01-06 11:23:00</t>
  </si>
  <si>
    <t>TXN100248</t>
  </si>
  <si>
    <t>307</t>
  </si>
  <si>
    <t>2026-01-25 10:43:00</t>
  </si>
  <si>
    <t>TXN100249</t>
  </si>
  <si>
    <t>2026-01-21 10:04:00</t>
  </si>
  <si>
    <t>TXN100250</t>
  </si>
  <si>
    <t>130</t>
  </si>
  <si>
    <t>2026-01-22 12:18:00</t>
  </si>
  <si>
    <t>TXN100251</t>
  </si>
  <si>
    <t>2026-01-11 02:37:00</t>
  </si>
  <si>
    <t>TXN100252</t>
  </si>
  <si>
    <t>2026-01-10 20:44:00</t>
  </si>
  <si>
    <t>TXN100253</t>
  </si>
  <si>
    <t>2026-01-20 22:05:00</t>
  </si>
  <si>
    <t>48</t>
  </si>
  <si>
    <t>TXN100254</t>
  </si>
  <si>
    <t>66</t>
  </si>
  <si>
    <t>2026-01-21 10:52:00</t>
  </si>
  <si>
    <t>TXN100255</t>
  </si>
  <si>
    <t>261</t>
  </si>
  <si>
    <t>2026-01-21 21:27:00</t>
  </si>
  <si>
    <t>TXN100256</t>
  </si>
  <si>
    <t>2026-01-12 09:11:00</t>
  </si>
  <si>
    <t>TXN100257</t>
  </si>
  <si>
    <t>2026-01-16 06:14:00</t>
  </si>
  <si>
    <t>TXN100258</t>
  </si>
  <si>
    <t>2026-01-10 03:32:00</t>
  </si>
  <si>
    <t>TXN100259</t>
  </si>
  <si>
    <t>317</t>
  </si>
  <si>
    <t>2026-01-22 10:56:00</t>
  </si>
  <si>
    <t>TXN100260</t>
  </si>
  <si>
    <t>2026-01-13 04:10:00</t>
  </si>
  <si>
    <t>TXN100261</t>
  </si>
  <si>
    <t>2026-01-24 14:02:00</t>
  </si>
  <si>
    <t>TXN100262</t>
  </si>
  <si>
    <t>313</t>
  </si>
  <si>
    <t>2026-01-24 07:28:00</t>
  </si>
  <si>
    <t>TXN100263</t>
  </si>
  <si>
    <t>2026-01-24 14:14:00</t>
  </si>
  <si>
    <t>TXN100264</t>
  </si>
  <si>
    <t>2026-01-26 15:57:00</t>
  </si>
  <si>
    <t>TXN100265</t>
  </si>
  <si>
    <t>2026-01-19 14:29:00</t>
  </si>
  <si>
    <t>TXN100266</t>
  </si>
  <si>
    <t>103</t>
  </si>
  <si>
    <t>2026-01-17 13:10:00</t>
  </si>
  <si>
    <t>TXN100267</t>
  </si>
  <si>
    <t>329</t>
  </si>
  <si>
    <t>2026-01-28 08:03:00</t>
  </si>
  <si>
    <t>TXN100268</t>
  </si>
  <si>
    <t>265</t>
  </si>
  <si>
    <t>2026-01-18 03:45:00</t>
  </si>
  <si>
    <t>TXN100269</t>
  </si>
  <si>
    <t>2026-01-03 05:17:00</t>
  </si>
  <si>
    <t>TXN100270</t>
  </si>
  <si>
    <t>114</t>
  </si>
  <si>
    <t>2026-01-27 13:05:00</t>
  </si>
  <si>
    <t>TXN100271</t>
  </si>
  <si>
    <t>2026-01-30 00:26:00</t>
  </si>
  <si>
    <t>TXN100272</t>
  </si>
  <si>
    <t>2026-01-12 07:24:00</t>
  </si>
  <si>
    <t>TXN100273</t>
  </si>
  <si>
    <t>2026-01-01 10:59:00</t>
  </si>
  <si>
    <t>TXN100274</t>
  </si>
  <si>
    <t>242</t>
  </si>
  <si>
    <t>2026-01-05 01:18:00</t>
  </si>
  <si>
    <t>TXN100275</t>
  </si>
  <si>
    <t>316</t>
  </si>
  <si>
    <t>2026-01-23 15:28:00</t>
  </si>
  <si>
    <t>TXN100276</t>
  </si>
  <si>
    <t>2026-01-01 08:13:00</t>
  </si>
  <si>
    <t>TXN100277</t>
  </si>
  <si>
    <t>2026-01-20 16:27:00</t>
  </si>
  <si>
    <t>TXN100278</t>
  </si>
  <si>
    <t>123</t>
  </si>
  <si>
    <t>2026-01-10 03:03:00</t>
  </si>
  <si>
    <t>TXN100279</t>
  </si>
  <si>
    <t>2026-01-26 19:29:00</t>
  </si>
  <si>
    <t>TXN100280</t>
  </si>
  <si>
    <t>324</t>
  </si>
  <si>
    <t>2026-01-20 17:01:00</t>
  </si>
  <si>
    <t>TXN100281</t>
  </si>
  <si>
    <t>2026-01-08 22:09:00</t>
  </si>
  <si>
    <t>TXN100282</t>
  </si>
  <si>
    <t>293</t>
  </si>
  <si>
    <t>2026-01-20 11:15:00</t>
  </si>
  <si>
    <t>TXN100283</t>
  </si>
  <si>
    <t>2026-01-22 21:05:00</t>
  </si>
  <si>
    <t>TXN100284</t>
  </si>
  <si>
    <t>2026-01-17 17:32:00</t>
  </si>
  <si>
    <t>TXN100285</t>
  </si>
  <si>
    <t>2026-01-13 15:02:00</t>
  </si>
  <si>
    <t>TXN100286</t>
  </si>
  <si>
    <t>183</t>
  </si>
  <si>
    <t>2026-01-09 23:01:00</t>
  </si>
  <si>
    <t>TXN100287</t>
  </si>
  <si>
    <t>322</t>
  </si>
  <si>
    <t>2026-01-08 23:42:00</t>
  </si>
  <si>
    <t>TXN100288</t>
  </si>
  <si>
    <t>2026-01-19 23:48:00</t>
  </si>
  <si>
    <t>TXN100289</t>
  </si>
  <si>
    <t>330</t>
  </si>
  <si>
    <t>2026-01-12 17:21:00</t>
  </si>
  <si>
    <t>TXN100290</t>
  </si>
  <si>
    <t>2026-01-22 14:44:00</t>
  </si>
  <si>
    <t>TXN100291</t>
  </si>
  <si>
    <t>235</t>
  </si>
  <si>
    <t>2026-01-03 22:49:00</t>
  </si>
  <si>
    <t>TXN100292</t>
  </si>
  <si>
    <t>2026-01-07 01:50:00</t>
  </si>
  <si>
    <t>TXN100293</t>
  </si>
  <si>
    <t>204</t>
  </si>
  <si>
    <t>2026-01-30 09:32:00</t>
  </si>
  <si>
    <t>TXN100294</t>
  </si>
  <si>
    <t>332</t>
  </si>
  <si>
    <t>2026-01-09 01:48:00</t>
  </si>
  <si>
    <t>TXN100295</t>
  </si>
  <si>
    <t>2026-01-12 01:55:00</t>
  </si>
  <si>
    <t>TXN100296</t>
  </si>
  <si>
    <t>205</t>
  </si>
  <si>
    <t>2026-01-04 11:27:00</t>
  </si>
  <si>
    <t>TXN100297</t>
  </si>
  <si>
    <t>255</t>
  </si>
  <si>
    <t>2026-01-11 05:31:00</t>
  </si>
  <si>
    <t>TXN100298</t>
  </si>
  <si>
    <t>218</t>
  </si>
  <si>
    <t>2026-01-09 02:46:00</t>
  </si>
  <si>
    <t>TXN100299</t>
  </si>
  <si>
    <t>2026-01-20 05:34:00</t>
  </si>
  <si>
    <t>TXN100300</t>
  </si>
  <si>
    <t>2026-01-03 10:42:00</t>
  </si>
  <si>
    <t>TXN100301</t>
  </si>
  <si>
    <t>2026-01-20 22:27:00</t>
  </si>
  <si>
    <t>TXN100302</t>
  </si>
  <si>
    <t>181</t>
  </si>
  <si>
    <t>2026-01-15 01:46:00</t>
  </si>
  <si>
    <t>TXN100303</t>
  </si>
  <si>
    <t>2026-01-09 20:50:00</t>
  </si>
  <si>
    <t>TXN100304</t>
  </si>
  <si>
    <t>263</t>
  </si>
  <si>
    <t>2026-01-21 12:23:00</t>
  </si>
  <si>
    <t>TXN100305</t>
  </si>
  <si>
    <t>225</t>
  </si>
  <si>
    <t>2026-01-05 19:43:00</t>
  </si>
  <si>
    <t>TXN100306</t>
  </si>
  <si>
    <t>2026-01-03 07:49:00</t>
  </si>
  <si>
    <t>TXN100307</t>
  </si>
  <si>
    <t>2026-01-13 18:02:00</t>
  </si>
  <si>
    <t>TXN100308</t>
  </si>
  <si>
    <t>228</t>
  </si>
  <si>
    <t>2026-01-15 11:23:00</t>
  </si>
  <si>
    <t>TXN100309</t>
  </si>
  <si>
    <t>2026-01-05 16:23:00</t>
  </si>
  <si>
    <t>TXN100310</t>
  </si>
  <si>
    <t>TXN100311</t>
  </si>
  <si>
    <t>2026-01-17 12:58:00</t>
  </si>
  <si>
    <t>TXN100312</t>
  </si>
  <si>
    <t>229</t>
  </si>
  <si>
    <t>2026-01-25 08:45:00</t>
  </si>
  <si>
    <t>TXN100313</t>
  </si>
  <si>
    <t>2026-01-10 22:58:00</t>
  </si>
  <si>
    <t>TXN100314</t>
  </si>
  <si>
    <t>2026-01-05 02:28:00</t>
  </si>
  <si>
    <t>TXN100315</t>
  </si>
  <si>
    <t>164</t>
  </si>
  <si>
    <t>2026-01-26 21:54:00</t>
  </si>
  <si>
    <t>TXN100316</t>
  </si>
  <si>
    <t>2026-01-03 17:34:00</t>
  </si>
  <si>
    <t>TXN100317</t>
  </si>
  <si>
    <t>2026-01-23 22:59:00</t>
  </si>
  <si>
    <t>TXN100318</t>
  </si>
  <si>
    <t>2026-01-17 07:07:00</t>
  </si>
  <si>
    <t>TXN100319</t>
  </si>
  <si>
    <t>185</t>
  </si>
  <si>
    <t>2026-01-26 15:01:00</t>
  </si>
  <si>
    <t>TXN100320</t>
  </si>
  <si>
    <t>2026-01-12 14:51:00</t>
  </si>
  <si>
    <t>TXN100321</t>
  </si>
  <si>
    <t>2026-01-29 02:04:00</t>
  </si>
  <si>
    <t>TXN100322</t>
  </si>
  <si>
    <t>2026-01-24 15:33:00</t>
  </si>
  <si>
    <t>TXN100323</t>
  </si>
  <si>
    <t>2026-01-03 04:20:00</t>
  </si>
  <si>
    <t>TXN100324</t>
  </si>
  <si>
    <t>2026-01-15 21:33:00</t>
  </si>
  <si>
    <t>TXN100325</t>
  </si>
  <si>
    <t>94</t>
  </si>
  <si>
    <t>2026-01-18 20:37:00</t>
  </si>
  <si>
    <t>TXN100326</t>
  </si>
  <si>
    <t>2026-01-17 01:53:00</t>
  </si>
  <si>
    <t>TXN100327</t>
  </si>
  <si>
    <t>2026-01-10 05:10:00</t>
  </si>
  <si>
    <t>TXN100328</t>
  </si>
  <si>
    <t>2026-01-17 09:54:00</t>
  </si>
  <si>
    <t>TXN100329</t>
  </si>
  <si>
    <t>2026-01-21 17:17:00</t>
  </si>
  <si>
    <t>TXN100330</t>
  </si>
  <si>
    <t>2026-01-18 02:32:00</t>
  </si>
  <si>
    <t>TXN100331</t>
  </si>
  <si>
    <t>2026-01-19 04:10:00</t>
  </si>
  <si>
    <t>TXN100332</t>
  </si>
  <si>
    <t>289</t>
  </si>
  <si>
    <t>2026-01-29 19:21:00</t>
  </si>
  <si>
    <t>TXN100333</t>
  </si>
  <si>
    <t>2026-01-03 01:41:00</t>
  </si>
  <si>
    <t>TXN100334</t>
  </si>
  <si>
    <t>2026-01-07 18:26:00</t>
  </si>
  <si>
    <t>TXN100335</t>
  </si>
  <si>
    <t>2026-01-29 20:34:00</t>
  </si>
  <si>
    <t>TXN100336</t>
  </si>
  <si>
    <t>153</t>
  </si>
  <si>
    <t>2026-01-08 21:25:00</t>
  </si>
  <si>
    <t>TXN100337</t>
  </si>
  <si>
    <t>226</t>
  </si>
  <si>
    <t>2026-01-23 01:10:00</t>
  </si>
  <si>
    <t>TXN100338</t>
  </si>
  <si>
    <t>2026-01-15 06:21:00</t>
  </si>
  <si>
    <t>TXN100339</t>
  </si>
  <si>
    <t>2026-01-28 22:20:00</t>
  </si>
  <si>
    <t>TXN100340</t>
  </si>
  <si>
    <t>2026-01-25 11:32:00</t>
  </si>
  <si>
    <t>TXN100341</t>
  </si>
  <si>
    <t>2026-01-08 14:07:00</t>
  </si>
  <si>
    <t>TXN100342</t>
  </si>
  <si>
    <t>2026-01-05 03:03:00</t>
  </si>
  <si>
    <t>TXN100343</t>
  </si>
  <si>
    <t>2026-01-14 07:55:00</t>
  </si>
  <si>
    <t>TXN100344</t>
  </si>
  <si>
    <t>2026-01-24 10:12:00</t>
  </si>
  <si>
    <t>TXN100345</t>
  </si>
  <si>
    <t>2026-01-15 15:56:00</t>
  </si>
  <si>
    <t>TXN100346</t>
  </si>
  <si>
    <t>2026-01-03 12:32:00</t>
  </si>
  <si>
    <t>TXN100347</t>
  </si>
  <si>
    <t>2026-01-19 11:03:00</t>
  </si>
  <si>
    <t>TXN100348</t>
  </si>
  <si>
    <t>2026-01-20 20:43:00</t>
  </si>
  <si>
    <t>TXN100349</t>
  </si>
  <si>
    <t>2026-01-01 03:27:00</t>
  </si>
  <si>
    <t>TXN100350</t>
  </si>
  <si>
    <t>2026-01-12 12:23:00</t>
  </si>
  <si>
    <t>TXN100351</t>
  </si>
  <si>
    <t>2026-01-19 17:12:00</t>
  </si>
  <si>
    <t>TXN100352</t>
  </si>
  <si>
    <t>TXN100353</t>
  </si>
  <si>
    <t>2026-01-27 19:43:00</t>
  </si>
  <si>
    <t>TXN100354</t>
  </si>
  <si>
    <t>2026-01-04 12:23:00</t>
  </si>
  <si>
    <t>TXN100355</t>
  </si>
  <si>
    <t>2026-01-25 04:12:00</t>
  </si>
  <si>
    <t>TXN100356</t>
  </si>
  <si>
    <t>2026-01-17 01:02:00</t>
  </si>
  <si>
    <t>TXN100357</t>
  </si>
  <si>
    <t>234</t>
  </si>
  <si>
    <t>2026-01-11 15:33:00</t>
  </si>
  <si>
    <t>TXN100358</t>
  </si>
  <si>
    <t>168</t>
  </si>
  <si>
    <t>2026-01-29 16:08:00</t>
  </si>
  <si>
    <t>TXN100359</t>
  </si>
  <si>
    <t>2026-01-06 12:39:00</t>
  </si>
  <si>
    <t>TXN100360</t>
  </si>
  <si>
    <t>251</t>
  </si>
  <si>
    <t>2026-01-17 16:34:00</t>
  </si>
  <si>
    <t>TXN100361</t>
  </si>
  <si>
    <t>2026-01-16 00:23:00</t>
  </si>
  <si>
    <t>TXN100362</t>
  </si>
  <si>
    <t>2026-01-19 09:50:00</t>
  </si>
  <si>
    <t>TXN100363</t>
  </si>
  <si>
    <t>2026-01-16 08:41:00</t>
  </si>
  <si>
    <t>TXN100364</t>
  </si>
  <si>
    <t>2026-01-24 01:37:00</t>
  </si>
  <si>
    <t>TXN100365</t>
  </si>
  <si>
    <t>195</t>
  </si>
  <si>
    <t>2026-01-21 23:39:00</t>
  </si>
  <si>
    <t>TXN100366</t>
  </si>
  <si>
    <t>2026-01-08 01:36:00</t>
  </si>
  <si>
    <t>TXN100367</t>
  </si>
  <si>
    <t>2026-01-15 10:26:00</t>
  </si>
  <si>
    <t>TXN100368</t>
  </si>
  <si>
    <t>314</t>
  </si>
  <si>
    <t>2026-01-07 13:32:00</t>
  </si>
  <si>
    <t>TXN100369</t>
  </si>
  <si>
    <t>2026-01-24 01:45:00</t>
  </si>
  <si>
    <t>TXN100370</t>
  </si>
  <si>
    <t>2026-01-18 10:42:00</t>
  </si>
  <si>
    <t>TXN100371</t>
  </si>
  <si>
    <t>273</t>
  </si>
  <si>
    <t>2026-01-11 05:29:00</t>
  </si>
  <si>
    <t>TXN100372</t>
  </si>
  <si>
    <t>349</t>
  </si>
  <si>
    <t>2026-01-12 21:49:00</t>
  </si>
  <si>
    <t>TXN100373</t>
  </si>
  <si>
    <t>143</t>
  </si>
  <si>
    <t>2026-01-16 06:15:00</t>
  </si>
  <si>
    <t>TXN100374</t>
  </si>
  <si>
    <t>2026-01-08 09:49:00</t>
  </si>
  <si>
    <t>TXN100375</t>
  </si>
  <si>
    <t>2026-01-23 15:20:00</t>
  </si>
  <si>
    <t>TXN100376</t>
  </si>
  <si>
    <t>2026-01-30 23:17:00</t>
  </si>
  <si>
    <t>TXN100377</t>
  </si>
  <si>
    <t>2026-01-22 17:24:00</t>
  </si>
  <si>
    <t>TXN100378</t>
  </si>
  <si>
    <t>2026-01-26 04:18:00</t>
  </si>
  <si>
    <t>TXN100379</t>
  </si>
  <si>
    <t>2026-01-03 11:59:00</t>
  </si>
  <si>
    <t>TXN100380</t>
  </si>
  <si>
    <t>2026-01-16 06:12:00</t>
  </si>
  <si>
    <t>TXN100381</t>
  </si>
  <si>
    <t>2026-01-23 08:08:00</t>
  </si>
  <si>
    <t>TXN100382</t>
  </si>
  <si>
    <t>2026-01-19 07:15:00</t>
  </si>
  <si>
    <t>TXN100383</t>
  </si>
  <si>
    <t>2026-01-21 07:03:00</t>
  </si>
  <si>
    <t>TXN100384</t>
  </si>
  <si>
    <t>2026-01-23 15:06:00</t>
  </si>
  <si>
    <t>TXN100385</t>
  </si>
  <si>
    <t>335</t>
  </si>
  <si>
    <t>2026-01-18 05:26:00</t>
  </si>
  <si>
    <t>TXN100386</t>
  </si>
  <si>
    <t>2026-01-21 06:48:00</t>
  </si>
  <si>
    <t>TXN100387</t>
  </si>
  <si>
    <t>2026-01-21 01:58:00</t>
  </si>
  <si>
    <t>TXN100388</t>
  </si>
  <si>
    <t>2026-01-18 23:46:00</t>
  </si>
  <si>
    <t>TXN100389</t>
  </si>
  <si>
    <t>2026-01-29 05:59:00</t>
  </si>
  <si>
    <t>TXN100390</t>
  </si>
  <si>
    <t>2026-01-16 05:59:00</t>
  </si>
  <si>
    <t>TXN100391</t>
  </si>
  <si>
    <t>2026-01-10 18:38:00</t>
  </si>
  <si>
    <t>TXN100392</t>
  </si>
  <si>
    <t>2026-01-15 20:34:00</t>
  </si>
  <si>
    <t>TXN100393</t>
  </si>
  <si>
    <t>2026-01-28 16:29:00</t>
  </si>
  <si>
    <t>TXN100394</t>
  </si>
  <si>
    <t>2026-01-11 05:46:00</t>
  </si>
  <si>
    <t>TXN100395</t>
  </si>
  <si>
    <t>173</t>
  </si>
  <si>
    <t>2026-01-06 00:47:00</t>
  </si>
  <si>
    <t>TXN100396</t>
  </si>
  <si>
    <t>2026-01-22 06:11:00</t>
  </si>
  <si>
    <t>TXN100397</t>
  </si>
  <si>
    <t>206</t>
  </si>
  <si>
    <t>2026-01-17 10:05:00</t>
  </si>
  <si>
    <t>TXN100398</t>
  </si>
  <si>
    <t>128</t>
  </si>
  <si>
    <t>2026-01-05 15:20:00</t>
  </si>
  <si>
    <t>TXN100399</t>
  </si>
  <si>
    <t>2026-01-13 07:28:00</t>
  </si>
  <si>
    <t>TXN100400</t>
  </si>
  <si>
    <t>2026-01-19 23:36:00</t>
  </si>
  <si>
    <t>TXN100401</t>
  </si>
  <si>
    <t>2026-01-12 22:15:00</t>
  </si>
  <si>
    <t>TXN100402</t>
  </si>
  <si>
    <t>2026-01-10 05:25:00</t>
  </si>
  <si>
    <t>TXN100403</t>
  </si>
  <si>
    <t>2026-01-04 20:58:00</t>
  </si>
  <si>
    <t>TXN100404</t>
  </si>
  <si>
    <t>2026-01-08 07:08:00</t>
  </si>
  <si>
    <t>TXN100405</t>
  </si>
  <si>
    <t>2026-01-24 19:23:00</t>
  </si>
  <si>
    <t>TXN100406</t>
  </si>
  <si>
    <t>2026-01-25 17:51:00</t>
  </si>
  <si>
    <t>TXN100407</t>
  </si>
  <si>
    <t>2026-01-08 21:48:00</t>
  </si>
  <si>
    <t>TXN100408</t>
  </si>
  <si>
    <t>2026-01-15 16:45:00</t>
  </si>
  <si>
    <t>TXN100409</t>
  </si>
  <si>
    <t>281</t>
  </si>
  <si>
    <t>2026-01-04 01:53:00</t>
  </si>
  <si>
    <t>TXN100410</t>
  </si>
  <si>
    <t>2026-01-19 17:09:00</t>
  </si>
  <si>
    <t>TXN100411</t>
  </si>
  <si>
    <t>106</t>
  </si>
  <si>
    <t>2026-01-15 03:43:00</t>
  </si>
  <si>
    <t>TXN100412</t>
  </si>
  <si>
    <t>2026-01-03 16:28:00</t>
  </si>
  <si>
    <t>TXN100413</t>
  </si>
  <si>
    <t>2026-01-17 13:29:00</t>
  </si>
  <si>
    <t>TXN100414</t>
  </si>
  <si>
    <t>2026-01-15 21:51:00</t>
  </si>
  <si>
    <t>TXN100415</t>
  </si>
  <si>
    <t>112</t>
  </si>
  <si>
    <t>2026-01-09 00:47:00</t>
  </si>
  <si>
    <t>TXN100416</t>
  </si>
  <si>
    <t>2026-01-02 13:22:00</t>
  </si>
  <si>
    <t>TXN100417</t>
  </si>
  <si>
    <t>2026-01-30 02:59:00</t>
  </si>
  <si>
    <t>TXN100418</t>
  </si>
  <si>
    <t>2026-01-14 05:49:00</t>
  </si>
  <si>
    <t>TXN100419</t>
  </si>
  <si>
    <t>194</t>
  </si>
  <si>
    <t>2026-01-29 12:28:00</t>
  </si>
  <si>
    <t>TXN100420</t>
  </si>
  <si>
    <t>2026-01-22 21:55:00</t>
  </si>
  <si>
    <t>TXN100421</t>
  </si>
  <si>
    <t>2026-01-28 11:07:00</t>
  </si>
  <si>
    <t>TXN100422</t>
  </si>
  <si>
    <t>115</t>
  </si>
  <si>
    <t>2026-01-17 04:46:00</t>
  </si>
  <si>
    <t>TXN100423</t>
  </si>
  <si>
    <t>345</t>
  </si>
  <si>
    <t>2026-01-01 09:29:00</t>
  </si>
  <si>
    <t>TXN100424</t>
  </si>
  <si>
    <t>118</t>
  </si>
  <si>
    <t>2026-01-18 12:52:00</t>
  </si>
  <si>
    <t>TXN100425</t>
  </si>
  <si>
    <t>2026-01-12 04:17:00</t>
  </si>
  <si>
    <t>TXN100426</t>
  </si>
  <si>
    <t>315</t>
  </si>
  <si>
    <t>2026-01-26 21:26:00</t>
  </si>
  <si>
    <t>TXN100427</t>
  </si>
  <si>
    <t>2026-01-07 02:06:00</t>
  </si>
  <si>
    <t>TXN100428</t>
  </si>
  <si>
    <t>2026-01-20 21:45:00</t>
  </si>
  <si>
    <t>TXN100429</t>
  </si>
  <si>
    <t>120</t>
  </si>
  <si>
    <t>2026-01-02 12:28:00</t>
  </si>
  <si>
    <t>TXN100430</t>
  </si>
  <si>
    <t>2026-01-25 01:08:00</t>
  </si>
  <si>
    <t>TXN100431</t>
  </si>
  <si>
    <t>2026-01-27 23:36:00</t>
  </si>
  <si>
    <t>TXN100432</t>
  </si>
  <si>
    <t>165</t>
  </si>
  <si>
    <t>2026-01-25 21:52:00</t>
  </si>
  <si>
    <t>TXN100433</t>
  </si>
  <si>
    <t>267</t>
  </si>
  <si>
    <t>2026-01-29 04:42:00</t>
  </si>
  <si>
    <t>TXN100434</t>
  </si>
  <si>
    <t>286</t>
  </si>
  <si>
    <t>2026-01-10 08:03:00</t>
  </si>
  <si>
    <t>TXN100435</t>
  </si>
  <si>
    <t>2026-01-30 05:40:00</t>
  </si>
  <si>
    <t>TXN100436</t>
  </si>
  <si>
    <t>2026-01-16 01:22:00</t>
  </si>
  <si>
    <t>TXN100437</t>
  </si>
  <si>
    <t>214</t>
  </si>
  <si>
    <t>2026-01-17 10:44:00</t>
  </si>
  <si>
    <t>TXN100438</t>
  </si>
  <si>
    <t>2026-01-10 12:11:00</t>
  </si>
  <si>
    <t>TXN100439</t>
  </si>
  <si>
    <t>2026-01-28 07:19:00</t>
  </si>
  <si>
    <t>TXN100440</t>
  </si>
  <si>
    <t>2026-01-18 13:26:00</t>
  </si>
  <si>
    <t>TXN100441</t>
  </si>
  <si>
    <t>105</t>
  </si>
  <si>
    <t>2026-01-13 07:16:00</t>
  </si>
  <si>
    <t>TXN100442</t>
  </si>
  <si>
    <t>2026-01-03 14:54:00</t>
  </si>
  <si>
    <t>TXN100443</t>
  </si>
  <si>
    <t>2026-01-24 06:03:00</t>
  </si>
  <si>
    <t>TXN100444</t>
  </si>
  <si>
    <t>2026-01-20 19:02:00</t>
  </si>
  <si>
    <t>TXN100445</t>
  </si>
  <si>
    <t>2026-01-19 23:42:00</t>
  </si>
  <si>
    <t>TXN100446</t>
  </si>
  <si>
    <t>2026-01-07 10:19:00</t>
  </si>
  <si>
    <t>TXN100447</t>
  </si>
  <si>
    <t>2026-01-24 03:47:00</t>
  </si>
  <si>
    <t>TXN100448</t>
  </si>
  <si>
    <t>2026-01-20 22:13:00</t>
  </si>
  <si>
    <t>TXN100449</t>
  </si>
  <si>
    <t>239</t>
  </si>
  <si>
    <t>2026-01-11 09:24:00</t>
  </si>
  <si>
    <t>TXN100450</t>
  </si>
  <si>
    <t>2026-01-12 09:16:00</t>
  </si>
  <si>
    <t>TXN100451</t>
  </si>
  <si>
    <t>2026-01-15 03:51:00</t>
  </si>
  <si>
    <t>TXN100452</t>
  </si>
  <si>
    <t>2026-01-12 10:26:00</t>
  </si>
  <si>
    <t>TXN100453</t>
  </si>
  <si>
    <t>2026-01-24 04:01:00</t>
  </si>
  <si>
    <t>TXN100454</t>
  </si>
  <si>
    <t>2026-01-19 23:26:00</t>
  </si>
  <si>
    <t>TXN100455</t>
  </si>
  <si>
    <t>2026-01-11 07:24:00</t>
  </si>
  <si>
    <t>TXN100456</t>
  </si>
  <si>
    <t>2026-01-18 20:43:00</t>
  </si>
  <si>
    <t>TXN100457</t>
  </si>
  <si>
    <t>2026-01-27 15:46:00</t>
  </si>
  <si>
    <t>TXN100458</t>
  </si>
  <si>
    <t>2026-01-06 23:50:00</t>
  </si>
  <si>
    <t>TXN100459</t>
  </si>
  <si>
    <t>2026-01-24 17:31:00</t>
  </si>
  <si>
    <t>TXN100460</t>
  </si>
  <si>
    <t>2026-01-02 16:02:00</t>
  </si>
  <si>
    <t>TXN100461</t>
  </si>
  <si>
    <t>2026-01-01 13:08:00</t>
  </si>
  <si>
    <t>TXN100462</t>
  </si>
  <si>
    <t>2026-01-23 04:00:00</t>
  </si>
  <si>
    <t>TXN100463</t>
  </si>
  <si>
    <t>2026-01-12 01:39:00</t>
  </si>
  <si>
    <t>TXN100464</t>
  </si>
  <si>
    <t>2026-01-22 15:01:00</t>
  </si>
  <si>
    <t>TXN100465</t>
  </si>
  <si>
    <t>2026-01-14 00:01:00</t>
  </si>
  <si>
    <t>TXN100466</t>
  </si>
  <si>
    <t>2026-01-10 00:32:00</t>
  </si>
  <si>
    <t>TXN100467</t>
  </si>
  <si>
    <t>2026-01-04 03:33:00</t>
  </si>
  <si>
    <t>TXN100468</t>
  </si>
  <si>
    <t>182</t>
  </si>
  <si>
    <t>2026-01-20 16:16:00</t>
  </si>
  <si>
    <t>TXN100469</t>
  </si>
  <si>
    <t>2026-01-03 11:25:00</t>
  </si>
  <si>
    <t>TXN100470</t>
  </si>
  <si>
    <t>TXN100471</t>
  </si>
  <si>
    <t>2026-01-13 12:24:00</t>
  </si>
  <si>
    <t>TXN100472</t>
  </si>
  <si>
    <t>2026-01-21 00:44:00</t>
  </si>
  <si>
    <t>TXN100473</t>
  </si>
  <si>
    <t>2026-01-28 13:41:00</t>
  </si>
  <si>
    <t>TXN100474</t>
  </si>
  <si>
    <t>2026-01-29 16:58:00</t>
  </si>
  <si>
    <t>TXN100475</t>
  </si>
  <si>
    <t>291</t>
  </si>
  <si>
    <t>2026-01-29 22:56:00</t>
  </si>
  <si>
    <t>TXN100476</t>
  </si>
  <si>
    <t>144</t>
  </si>
  <si>
    <t>2026-01-02 02:43:00</t>
  </si>
  <si>
    <t>TXN100477</t>
  </si>
  <si>
    <t>162</t>
  </si>
  <si>
    <t>2026-01-22 01:11:00</t>
  </si>
  <si>
    <t>TXN100478</t>
  </si>
  <si>
    <t>2026-01-19 04:48:00</t>
  </si>
  <si>
    <t>TXN100479</t>
  </si>
  <si>
    <t>2026-01-06 18:15:00</t>
  </si>
  <si>
    <t>TXN100480</t>
  </si>
  <si>
    <t>2026-01-29 17:21:00</t>
  </si>
  <si>
    <t>TXN100481</t>
  </si>
  <si>
    <t>178</t>
  </si>
  <si>
    <t>2026-01-24 02:32:00</t>
  </si>
  <si>
    <t>TXN100482</t>
  </si>
  <si>
    <t>2026-01-14 07:53:00</t>
  </si>
  <si>
    <t>TXN100483</t>
  </si>
  <si>
    <t>2026-01-25 19:38:00</t>
  </si>
  <si>
    <t>TXN100484</t>
  </si>
  <si>
    <t>2026-01-21 08:50:00</t>
  </si>
  <si>
    <t>TXN100485</t>
  </si>
  <si>
    <t>2026-01-12 17:24:00</t>
  </si>
  <si>
    <t>TXN100486</t>
  </si>
  <si>
    <t>2026-01-19 21:24:00</t>
  </si>
  <si>
    <t>TXN100487</t>
  </si>
  <si>
    <t>2026-01-26 07:45:00</t>
  </si>
  <si>
    <t>TXN100488</t>
  </si>
  <si>
    <t>2026-01-05 12:45:00</t>
  </si>
  <si>
    <t>TXN100489</t>
  </si>
  <si>
    <t>2026-01-13 10:23:00</t>
  </si>
  <si>
    <t>TXN100490</t>
  </si>
  <si>
    <t>139</t>
  </si>
  <si>
    <t>2026-01-10 14:23:00</t>
  </si>
  <si>
    <t>TXN100491</t>
  </si>
  <si>
    <t>2026-01-03 05:27:00</t>
  </si>
  <si>
    <t>TXN100492</t>
  </si>
  <si>
    <t>2026-01-17 13:06:00</t>
  </si>
  <si>
    <t>45</t>
  </si>
  <si>
    <t>TXN100493</t>
  </si>
  <si>
    <t>2026-01-18 02:38:00</t>
  </si>
  <si>
    <t>TXN100494</t>
  </si>
  <si>
    <t>2026-01-01 09:26:00</t>
  </si>
  <si>
    <t>TXN100495</t>
  </si>
  <si>
    <t>125</t>
  </si>
  <si>
    <t>2026-01-29 17:57:00</t>
  </si>
  <si>
    <t>TXN100496</t>
  </si>
  <si>
    <t>2026-01-06 21:24:00</t>
  </si>
  <si>
    <t>TXN100497</t>
  </si>
  <si>
    <t>2026-01-10 08:31:00</t>
  </si>
  <si>
    <t>TXN100498</t>
  </si>
  <si>
    <t>2026-01-14 08:26:00</t>
  </si>
  <si>
    <t>TXN100499</t>
  </si>
  <si>
    <t>127</t>
  </si>
  <si>
    <t>2026-01-03 11:16:00</t>
  </si>
  <si>
    <t>TXN200000</t>
  </si>
  <si>
    <t>351</t>
  </si>
  <si>
    <t>2026-01-30 06:00:00</t>
  </si>
  <si>
    <t>1999</t>
  </si>
  <si>
    <t>TXN200001</t>
  </si>
  <si>
    <t>352</t>
  </si>
  <si>
    <t>2026-01-11 12:00:00</t>
  </si>
  <si>
    <t>TXN200002</t>
  </si>
  <si>
    <t>353</t>
  </si>
  <si>
    <t>2026-01-21 14:00:00</t>
  </si>
  <si>
    <t>TXN200003</t>
  </si>
  <si>
    <t>354</t>
  </si>
  <si>
    <t>2026-01-21 19:00:00</t>
  </si>
  <si>
    <t>TXN200004</t>
  </si>
  <si>
    <t>355</t>
  </si>
  <si>
    <t>2026-01-16 12:00:00</t>
  </si>
  <si>
    <t>TXN200005</t>
  </si>
  <si>
    <t>356</t>
  </si>
  <si>
    <t>2026-01-29 07:00:00</t>
  </si>
  <si>
    <t>TXN200006</t>
  </si>
  <si>
    <t>357</t>
  </si>
  <si>
    <t>2026-01-23 11:00:00</t>
  </si>
  <si>
    <t>TXN200007</t>
  </si>
  <si>
    <t>358</t>
  </si>
  <si>
    <t>2026-01-28 05:00:00</t>
  </si>
  <si>
    <t>999</t>
  </si>
  <si>
    <t>TXN200008</t>
  </si>
  <si>
    <t>359</t>
  </si>
  <si>
    <t>2026-01-25 22:00:00</t>
  </si>
  <si>
    <t>TXN200009</t>
  </si>
  <si>
    <t>360</t>
  </si>
  <si>
    <t>2026-01-13 13:00:00</t>
  </si>
  <si>
    <t>TXN200010</t>
  </si>
  <si>
    <t>361</t>
  </si>
  <si>
    <t>2026-01-20 07:00:00</t>
  </si>
  <si>
    <t>TXN200011</t>
  </si>
  <si>
    <t>362</t>
  </si>
  <si>
    <t>2026-01-23 02:00:00</t>
  </si>
  <si>
    <t>TXN200012</t>
  </si>
  <si>
    <t>363</t>
  </si>
  <si>
    <t>2026-01-23 17:00:00</t>
  </si>
  <si>
    <t>TXN200013</t>
  </si>
  <si>
    <t>364</t>
  </si>
  <si>
    <t>2026-01-22 22:00:00</t>
  </si>
  <si>
    <t>TXN200014</t>
  </si>
  <si>
    <t>365</t>
  </si>
  <si>
    <t>2026-01-18 21:00:00</t>
  </si>
  <si>
    <t>TXN300000</t>
  </si>
  <si>
    <t>2026-01-02 18:00:00</t>
  </si>
  <si>
    <t>399</t>
  </si>
  <si>
    <t>TXN300001</t>
  </si>
  <si>
    <t>2026-01-02 18:01:00</t>
  </si>
  <si>
    <t>TXN300002</t>
  </si>
  <si>
    <t>2026-01-02 18:02:00</t>
  </si>
  <si>
    <t>TXN300003</t>
  </si>
  <si>
    <t>2026-01-02 18:03:00</t>
  </si>
  <si>
    <t>TXN300004</t>
  </si>
  <si>
    <t>2026-01-12 12:00:00</t>
  </si>
  <si>
    <t>TXN300005</t>
  </si>
  <si>
    <t>2026-01-12 12:01:00</t>
  </si>
  <si>
    <t>TXN300006</t>
  </si>
  <si>
    <t>2026-01-12 12:02:00</t>
  </si>
  <si>
    <t>TXN300007</t>
  </si>
  <si>
    <t>2026-01-12 12:03:00</t>
  </si>
  <si>
    <t>TXN300008</t>
  </si>
  <si>
    <t>2026-01-12 09:00:00</t>
  </si>
  <si>
    <t>TXN300009</t>
  </si>
  <si>
    <t>2026-01-12 09:01:00</t>
  </si>
  <si>
    <t>TXN300010</t>
  </si>
  <si>
    <t>2026-01-12 09:02:00</t>
  </si>
  <si>
    <t>TXN300011</t>
  </si>
  <si>
    <t>2026-01-12 09:03:00</t>
  </si>
  <si>
    <t>TXN300012</t>
  </si>
  <si>
    <t>2026-01-02 22:00:00</t>
  </si>
  <si>
    <t>TXN300013</t>
  </si>
  <si>
    <t>2026-01-02 22:01:00</t>
  </si>
  <si>
    <t>TXN300014</t>
  </si>
  <si>
    <t>2026-01-02 22:02:00</t>
  </si>
  <si>
    <t>TXN300015</t>
  </si>
  <si>
    <t>2026-01-02 22:03:00</t>
  </si>
  <si>
    <t>TXN300016</t>
  </si>
  <si>
    <t>2026-01-14 14:00:00</t>
  </si>
  <si>
    <t>TXN300017</t>
  </si>
  <si>
    <t>2026-01-14 14:01:00</t>
  </si>
  <si>
    <t>TXN300018</t>
  </si>
  <si>
    <t>2026-01-14 14:02:00</t>
  </si>
  <si>
    <t>TXN300019</t>
  </si>
  <si>
    <t>2026-01-14 14:03:00</t>
  </si>
  <si>
    <t>TXN300020</t>
  </si>
  <si>
    <t>2026-01-01 22:00:00</t>
  </si>
  <si>
    <t>TXN300021</t>
  </si>
  <si>
    <t>2026-01-01 22:01:00</t>
  </si>
  <si>
    <t>TXN300022</t>
  </si>
  <si>
    <t>2026-01-01 22:02:00</t>
  </si>
  <si>
    <t>TXN300023</t>
  </si>
  <si>
    <t>2026-01-01 22:03:00</t>
  </si>
  <si>
    <t>TXN300024</t>
  </si>
  <si>
    <t>2026-01-09 21:00:00</t>
  </si>
  <si>
    <t>TXN300025</t>
  </si>
  <si>
    <t>2026-01-09 21:01:00</t>
  </si>
  <si>
    <t>TXN300026</t>
  </si>
  <si>
    <t>2026-01-09 21:02:00</t>
  </si>
  <si>
    <t>TXN300027</t>
  </si>
  <si>
    <t>2026-01-09 21:03:00</t>
  </si>
  <si>
    <t>TXN300028</t>
  </si>
  <si>
    <t>2026-01-23 09:00:00</t>
  </si>
  <si>
    <t>TXN300029</t>
  </si>
  <si>
    <t>2026-01-23 09:01:00</t>
  </si>
  <si>
    <t>TXN300030</t>
  </si>
  <si>
    <t>2026-01-23 09:02:00</t>
  </si>
  <si>
    <t>TXN300031</t>
  </si>
  <si>
    <t>2026-01-23 09:03:00</t>
  </si>
  <si>
    <t>txn_date</t>
  </si>
  <si>
    <t>daily_total</t>
  </si>
  <si>
    <t>classification</t>
  </si>
  <si>
    <t>fee_pct</t>
  </si>
  <si>
    <t>Method</t>
  </si>
  <si>
    <t>Fee %</t>
  </si>
  <si>
    <t>HLOOKUP demo uses row 1 methods and row 2 fee percentages.</t>
  </si>
  <si>
    <t>2026-01-29</t>
  </si>
  <si>
    <t>2026-01-04</t>
  </si>
  <si>
    <t>2026-01-24</t>
  </si>
  <si>
    <t>2026-01-30</t>
  </si>
  <si>
    <t>2026-01-06</t>
  </si>
  <si>
    <t>2026-01-08</t>
  </si>
  <si>
    <t>2026-01-27</t>
  </si>
  <si>
    <t>2026-01-11</t>
  </si>
  <si>
    <t>2026-01-21</t>
  </si>
  <si>
    <t>2026-01-01</t>
  </si>
  <si>
    <t>2026-01-09</t>
  </si>
  <si>
    <t>2026-01-13</t>
  </si>
  <si>
    <t>2026-01-14</t>
  </si>
  <si>
    <t>2026-01-22</t>
  </si>
  <si>
    <t>2026-01-05</t>
  </si>
  <si>
    <t>2026-01-18</t>
  </si>
  <si>
    <t>2026-01-26</t>
  </si>
  <si>
    <t>2026-01-15</t>
  </si>
  <si>
    <t>2026-01-17</t>
  </si>
  <si>
    <t>2026-01-28</t>
  </si>
  <si>
    <t>2026-01-23</t>
  </si>
  <si>
    <t>2026-01-25</t>
  </si>
  <si>
    <t>2026-01-02</t>
  </si>
  <si>
    <t>2026-01-19</t>
  </si>
  <si>
    <t>2026-01-16</t>
  </si>
  <si>
    <t>2026-01-07</t>
  </si>
  <si>
    <t>2026-01-20</t>
  </si>
  <si>
    <t>2026-01-10</t>
  </si>
  <si>
    <t>2026-01-12</t>
  </si>
  <si>
    <t>2026-01-03</t>
  </si>
  <si>
    <t>total_amount_inr</t>
  </si>
  <si>
    <t>txn_count</t>
  </si>
  <si>
    <t>total_txn_count</t>
  </si>
  <si>
    <t>unique_days</t>
  </si>
  <si>
    <t>Classification rule: High-Value Merchant Day when merchant daily transaction total &gt; INR 5000 and region is not East.</t>
  </si>
  <si>
    <t>VLOOKUP uses merchants!$A$2:$D$41 absolute range with IFNA.</t>
  </si>
  <si>
    <t>HLOOKUP fee table: UPI 0.2%, Wallet 1.0%, Card 1.8%, Netbanking 1.2%.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</si>
</sst>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/>
  </sheetViews>
  <sheetFormatPr defaultRowHeight="14.4" x14ac:dyDescent="0.3"/>
  <cols>
    <col min="1" max="4" width="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14</v>
      </c>
    </row>
    <row r="5" spans="1:4" x14ac:dyDescent="0.3">
      <c r="A5" t="s">
        <v>15</v>
      </c>
      <c r="B5" t="s">
        <v>16</v>
      </c>
      <c r="C5" t="s">
        <v>6</v>
      </c>
      <c r="D5" t="s">
        <v>14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24</v>
      </c>
      <c r="C8" t="s">
        <v>22</v>
      </c>
      <c r="D8" t="s">
        <v>14</v>
      </c>
    </row>
    <row r="9" spans="1:4" x14ac:dyDescent="0.3">
      <c r="A9" t="s">
        <v>25</v>
      </c>
      <c r="B9" t="s">
        <v>26</v>
      </c>
      <c r="C9" t="s">
        <v>22</v>
      </c>
      <c r="D9" t="s">
        <v>27</v>
      </c>
    </row>
    <row r="10" spans="1:4" x14ac:dyDescent="0.3">
      <c r="A10" t="s">
        <v>28</v>
      </c>
      <c r="B10" t="s">
        <v>29</v>
      </c>
      <c r="C10" t="s">
        <v>6</v>
      </c>
      <c r="D10" t="s">
        <v>27</v>
      </c>
    </row>
    <row r="11" spans="1:4" x14ac:dyDescent="0.3">
      <c r="A11" t="s">
        <v>30</v>
      </c>
      <c r="B11" t="s">
        <v>31</v>
      </c>
      <c r="C11" t="s">
        <v>10</v>
      </c>
      <c r="D11" t="s">
        <v>11</v>
      </c>
    </row>
    <row r="12" spans="1:4" x14ac:dyDescent="0.3">
      <c r="A12" t="s">
        <v>32</v>
      </c>
      <c r="B12" t="s">
        <v>33</v>
      </c>
      <c r="C12" t="s">
        <v>6</v>
      </c>
      <c r="D12" t="s">
        <v>27</v>
      </c>
    </row>
    <row r="13" spans="1:4" x14ac:dyDescent="0.3">
      <c r="A13" t="s">
        <v>34</v>
      </c>
      <c r="B13" t="s">
        <v>35</v>
      </c>
      <c r="C13" t="s">
        <v>6</v>
      </c>
      <c r="D13" t="s">
        <v>14</v>
      </c>
    </row>
    <row r="14" spans="1:4" x14ac:dyDescent="0.3">
      <c r="A14" t="s">
        <v>36</v>
      </c>
      <c r="B14" t="s">
        <v>37</v>
      </c>
      <c r="C14" t="s">
        <v>38</v>
      </c>
      <c r="D14" t="s">
        <v>14</v>
      </c>
    </row>
    <row r="15" spans="1:4" x14ac:dyDescent="0.3">
      <c r="A15" t="s">
        <v>39</v>
      </c>
      <c r="B15" t="s">
        <v>40</v>
      </c>
      <c r="C15" t="s">
        <v>10</v>
      </c>
      <c r="D15" t="s">
        <v>14</v>
      </c>
    </row>
    <row r="16" spans="1:4" x14ac:dyDescent="0.3">
      <c r="A16" t="s">
        <v>41</v>
      </c>
      <c r="B16" t="s">
        <v>42</v>
      </c>
      <c r="C16" t="s">
        <v>38</v>
      </c>
      <c r="D16" t="s">
        <v>27</v>
      </c>
    </row>
    <row r="17" spans="1:4" x14ac:dyDescent="0.3">
      <c r="A17" t="s">
        <v>43</v>
      </c>
      <c r="B17" t="s">
        <v>44</v>
      </c>
      <c r="C17" t="s">
        <v>45</v>
      </c>
      <c r="D17" t="s">
        <v>11</v>
      </c>
    </row>
    <row r="18" spans="1:4" x14ac:dyDescent="0.3">
      <c r="A18" t="s">
        <v>46</v>
      </c>
      <c r="B18" t="s">
        <v>47</v>
      </c>
      <c r="C18" t="s">
        <v>10</v>
      </c>
      <c r="D18" t="s">
        <v>27</v>
      </c>
    </row>
    <row r="19" spans="1:4" x14ac:dyDescent="0.3">
      <c r="A19" t="s">
        <v>48</v>
      </c>
      <c r="B19" t="s">
        <v>49</v>
      </c>
      <c r="C19" t="s">
        <v>10</v>
      </c>
      <c r="D19" t="s">
        <v>11</v>
      </c>
    </row>
    <row r="20" spans="1:4" x14ac:dyDescent="0.3">
      <c r="A20" t="s">
        <v>50</v>
      </c>
      <c r="B20" t="s">
        <v>51</v>
      </c>
      <c r="C20" t="s">
        <v>10</v>
      </c>
      <c r="D20" t="s">
        <v>27</v>
      </c>
    </row>
    <row r="21" spans="1:4" x14ac:dyDescent="0.3">
      <c r="A21" t="s">
        <v>52</v>
      </c>
      <c r="B21" t="s">
        <v>53</v>
      </c>
      <c r="C21" t="s">
        <v>22</v>
      </c>
      <c r="D21" t="s">
        <v>14</v>
      </c>
    </row>
    <row r="22" spans="1:4" x14ac:dyDescent="0.3">
      <c r="A22" t="s">
        <v>54</v>
      </c>
      <c r="B22" t="s">
        <v>55</v>
      </c>
      <c r="C22" t="s">
        <v>22</v>
      </c>
      <c r="D22" t="s">
        <v>14</v>
      </c>
    </row>
    <row r="23" spans="1:4" x14ac:dyDescent="0.3">
      <c r="A23" t="s">
        <v>56</v>
      </c>
      <c r="B23" t="s">
        <v>57</v>
      </c>
      <c r="C23" t="s">
        <v>38</v>
      </c>
      <c r="D23" t="s">
        <v>7</v>
      </c>
    </row>
    <row r="24" spans="1:4" x14ac:dyDescent="0.3">
      <c r="A24" t="s">
        <v>58</v>
      </c>
      <c r="B24" t="s">
        <v>59</v>
      </c>
      <c r="C24" t="s">
        <v>38</v>
      </c>
      <c r="D24" t="s">
        <v>27</v>
      </c>
    </row>
    <row r="25" spans="1:4" x14ac:dyDescent="0.3">
      <c r="A25" t="s">
        <v>60</v>
      </c>
      <c r="B25" t="s">
        <v>61</v>
      </c>
      <c r="C25" t="s">
        <v>10</v>
      </c>
      <c r="D25" t="s">
        <v>27</v>
      </c>
    </row>
    <row r="26" spans="1:4" x14ac:dyDescent="0.3">
      <c r="A26" t="s">
        <v>62</v>
      </c>
      <c r="B26" t="s">
        <v>63</v>
      </c>
      <c r="C26" t="s">
        <v>38</v>
      </c>
      <c r="D26" t="s">
        <v>7</v>
      </c>
    </row>
    <row r="27" spans="1:4" x14ac:dyDescent="0.3">
      <c r="A27" t="s">
        <v>64</v>
      </c>
      <c r="B27" t="s">
        <v>65</v>
      </c>
      <c r="C27" t="s">
        <v>22</v>
      </c>
      <c r="D27" t="s">
        <v>14</v>
      </c>
    </row>
    <row r="28" spans="1:4" x14ac:dyDescent="0.3">
      <c r="A28" t="s">
        <v>66</v>
      </c>
      <c r="B28" t="s">
        <v>67</v>
      </c>
      <c r="C28" t="s">
        <v>6</v>
      </c>
      <c r="D28" t="s">
        <v>27</v>
      </c>
    </row>
    <row r="29" spans="1:4" x14ac:dyDescent="0.3">
      <c r="A29" t="s">
        <v>68</v>
      </c>
      <c r="B29" t="s">
        <v>69</v>
      </c>
      <c r="C29" t="s">
        <v>6</v>
      </c>
      <c r="D29" t="s">
        <v>7</v>
      </c>
    </row>
    <row r="30" spans="1:4" x14ac:dyDescent="0.3">
      <c r="A30" t="s">
        <v>70</v>
      </c>
      <c r="B30" t="s">
        <v>71</v>
      </c>
      <c r="C30" t="s">
        <v>6</v>
      </c>
      <c r="D30" t="s">
        <v>27</v>
      </c>
    </row>
    <row r="31" spans="1:4" x14ac:dyDescent="0.3">
      <c r="A31" t="s">
        <v>72</v>
      </c>
      <c r="B31" t="s">
        <v>73</v>
      </c>
      <c r="C31" t="s">
        <v>38</v>
      </c>
      <c r="D31" t="s">
        <v>11</v>
      </c>
    </row>
    <row r="32" spans="1:4" x14ac:dyDescent="0.3">
      <c r="A32" t="s">
        <v>74</v>
      </c>
      <c r="B32" t="s">
        <v>75</v>
      </c>
      <c r="C32" t="s">
        <v>45</v>
      </c>
      <c r="D32" t="s">
        <v>14</v>
      </c>
    </row>
    <row r="33" spans="1:4" x14ac:dyDescent="0.3">
      <c r="A33" t="s">
        <v>76</v>
      </c>
      <c r="B33" t="s">
        <v>77</v>
      </c>
      <c r="C33" t="s">
        <v>22</v>
      </c>
      <c r="D33" t="s">
        <v>11</v>
      </c>
    </row>
    <row r="34" spans="1:4" x14ac:dyDescent="0.3">
      <c r="A34" t="s">
        <v>78</v>
      </c>
      <c r="B34" t="s">
        <v>79</v>
      </c>
      <c r="C34" t="s">
        <v>45</v>
      </c>
      <c r="D34" t="s">
        <v>14</v>
      </c>
    </row>
    <row r="35" spans="1:4" x14ac:dyDescent="0.3">
      <c r="A35" t="s">
        <v>80</v>
      </c>
      <c r="B35" t="s">
        <v>81</v>
      </c>
      <c r="C35" t="s">
        <v>38</v>
      </c>
      <c r="D35" t="s">
        <v>7</v>
      </c>
    </row>
    <row r="36" spans="1:4" x14ac:dyDescent="0.3">
      <c r="A36" t="s">
        <v>82</v>
      </c>
      <c r="B36" t="s">
        <v>83</v>
      </c>
      <c r="C36" t="s">
        <v>19</v>
      </c>
      <c r="D36" t="s">
        <v>14</v>
      </c>
    </row>
    <row r="37" spans="1:4" x14ac:dyDescent="0.3">
      <c r="A37" t="s">
        <v>84</v>
      </c>
      <c r="B37" t="s">
        <v>85</v>
      </c>
      <c r="C37" t="s">
        <v>86</v>
      </c>
      <c r="D37" t="s">
        <v>14</v>
      </c>
    </row>
    <row r="38" spans="1:4" x14ac:dyDescent="0.3">
      <c r="A38" t="s">
        <v>87</v>
      </c>
      <c r="B38" t="s">
        <v>88</v>
      </c>
      <c r="C38" t="s">
        <v>86</v>
      </c>
      <c r="D38" t="s">
        <v>7</v>
      </c>
    </row>
    <row r="39" spans="1:4" x14ac:dyDescent="0.3">
      <c r="A39" t="s">
        <v>89</v>
      </c>
      <c r="B39" t="s">
        <v>90</v>
      </c>
      <c r="C39" t="s">
        <v>10</v>
      </c>
      <c r="D39" t="s">
        <v>14</v>
      </c>
    </row>
    <row r="40" spans="1:4" x14ac:dyDescent="0.3">
      <c r="A40" t="s">
        <v>91</v>
      </c>
      <c r="B40" t="s">
        <v>92</v>
      </c>
      <c r="C40" t="s">
        <v>86</v>
      </c>
      <c r="D40" t="s">
        <v>27</v>
      </c>
    </row>
    <row r="41" spans="1:4" x14ac:dyDescent="0.3">
      <c r="A41" t="s">
        <v>93</v>
      </c>
      <c r="B41" t="s">
        <v>94</v>
      </c>
      <c r="C41" t="s">
        <v>86</v>
      </c>
      <c r="D4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8"/>
  <sheetViews>
    <sheetView workbookViewId="0"/>
  </sheetViews>
  <sheetFormatPr defaultRowHeight="14.4" x14ac:dyDescent="0.3"/>
  <cols>
    <col min="1" max="8" width="18" customWidth="1"/>
  </cols>
  <sheetData>
    <row r="1" spans="1:8" x14ac:dyDescent="0.3">
      <c r="A1" t="s">
        <v>95</v>
      </c>
      <c r="B1" t="s">
        <v>96</v>
      </c>
      <c r="C1" t="s">
        <v>0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 spans="1:8" x14ac:dyDescent="0.3">
      <c r="A2" t="s">
        <v>102</v>
      </c>
      <c r="B2" t="s">
        <v>103</v>
      </c>
      <c r="C2" t="s">
        <v>43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</row>
    <row r="3" spans="1:8" x14ac:dyDescent="0.3">
      <c r="A3" t="s">
        <v>109</v>
      </c>
      <c r="B3" t="s">
        <v>110</v>
      </c>
      <c r="C3" t="s">
        <v>66</v>
      </c>
      <c r="D3" t="s">
        <v>111</v>
      </c>
      <c r="E3" t="s">
        <v>112</v>
      </c>
      <c r="F3" t="s">
        <v>113</v>
      </c>
      <c r="G3" t="s">
        <v>107</v>
      </c>
      <c r="H3" t="s">
        <v>114</v>
      </c>
    </row>
    <row r="4" spans="1:8" x14ac:dyDescent="0.3">
      <c r="A4" t="s">
        <v>115</v>
      </c>
      <c r="B4" t="s">
        <v>116</v>
      </c>
      <c r="C4" t="s">
        <v>32</v>
      </c>
      <c r="D4" t="s">
        <v>117</v>
      </c>
      <c r="E4" t="s">
        <v>118</v>
      </c>
      <c r="F4" t="s">
        <v>106</v>
      </c>
      <c r="G4" t="s">
        <v>107</v>
      </c>
      <c r="H4" t="s">
        <v>56</v>
      </c>
    </row>
    <row r="5" spans="1:8" x14ac:dyDescent="0.3">
      <c r="A5" t="s">
        <v>119</v>
      </c>
      <c r="B5" t="s">
        <v>120</v>
      </c>
      <c r="C5" t="s">
        <v>56</v>
      </c>
      <c r="D5" t="s">
        <v>121</v>
      </c>
      <c r="E5" t="s">
        <v>112</v>
      </c>
      <c r="F5" t="s">
        <v>122</v>
      </c>
      <c r="G5" t="s">
        <v>107</v>
      </c>
      <c r="H5" t="s">
        <v>123</v>
      </c>
    </row>
    <row r="6" spans="1:8" x14ac:dyDescent="0.3">
      <c r="A6" t="s">
        <v>124</v>
      </c>
      <c r="B6" t="s">
        <v>125</v>
      </c>
      <c r="C6" t="s">
        <v>43</v>
      </c>
      <c r="D6" t="s">
        <v>126</v>
      </c>
      <c r="E6" t="s">
        <v>127</v>
      </c>
      <c r="F6" t="s">
        <v>113</v>
      </c>
      <c r="G6" t="s">
        <v>107</v>
      </c>
      <c r="H6" t="s">
        <v>80</v>
      </c>
    </row>
    <row r="7" spans="1:8" x14ac:dyDescent="0.3">
      <c r="A7" t="s">
        <v>128</v>
      </c>
      <c r="B7" t="s">
        <v>129</v>
      </c>
      <c r="C7" t="s">
        <v>12</v>
      </c>
      <c r="D7" t="s">
        <v>130</v>
      </c>
      <c r="E7" t="s">
        <v>127</v>
      </c>
      <c r="F7" t="s">
        <v>113</v>
      </c>
      <c r="G7" t="s">
        <v>107</v>
      </c>
      <c r="H7" t="s">
        <v>131</v>
      </c>
    </row>
    <row r="8" spans="1:8" x14ac:dyDescent="0.3">
      <c r="A8" t="s">
        <v>132</v>
      </c>
      <c r="B8" t="s">
        <v>133</v>
      </c>
      <c r="C8" t="s">
        <v>58</v>
      </c>
      <c r="D8" t="s">
        <v>134</v>
      </c>
      <c r="E8" t="s">
        <v>127</v>
      </c>
      <c r="F8" t="s">
        <v>106</v>
      </c>
      <c r="G8" t="s">
        <v>107</v>
      </c>
      <c r="H8" t="s">
        <v>91</v>
      </c>
    </row>
    <row r="9" spans="1:8" x14ac:dyDescent="0.3">
      <c r="A9" t="s">
        <v>135</v>
      </c>
      <c r="B9" t="s">
        <v>36</v>
      </c>
      <c r="C9" t="s">
        <v>36</v>
      </c>
      <c r="D9" t="s">
        <v>136</v>
      </c>
      <c r="E9" t="s">
        <v>127</v>
      </c>
      <c r="F9" t="s">
        <v>113</v>
      </c>
      <c r="G9" t="s">
        <v>107</v>
      </c>
      <c r="H9" t="s">
        <v>137</v>
      </c>
    </row>
    <row r="10" spans="1:8" x14ac:dyDescent="0.3">
      <c r="A10" t="s">
        <v>138</v>
      </c>
      <c r="B10" t="s">
        <v>84</v>
      </c>
      <c r="C10" t="s">
        <v>48</v>
      </c>
      <c r="D10" t="s">
        <v>139</v>
      </c>
      <c r="E10" t="s">
        <v>140</v>
      </c>
      <c r="F10" t="s">
        <v>113</v>
      </c>
      <c r="G10" t="s">
        <v>107</v>
      </c>
      <c r="H10" t="s">
        <v>141</v>
      </c>
    </row>
    <row r="11" spans="1:8" x14ac:dyDescent="0.3">
      <c r="A11" t="s">
        <v>142</v>
      </c>
      <c r="B11" t="s">
        <v>143</v>
      </c>
      <c r="C11" t="s">
        <v>82</v>
      </c>
      <c r="D11" t="s">
        <v>144</v>
      </c>
      <c r="E11" t="s">
        <v>145</v>
      </c>
      <c r="F11" t="s">
        <v>113</v>
      </c>
      <c r="G11" t="s">
        <v>107</v>
      </c>
      <c r="H11" t="s">
        <v>146</v>
      </c>
    </row>
    <row r="12" spans="1:8" x14ac:dyDescent="0.3">
      <c r="A12" t="s">
        <v>147</v>
      </c>
      <c r="B12" t="s">
        <v>148</v>
      </c>
      <c r="C12" t="s">
        <v>34</v>
      </c>
      <c r="D12" t="s">
        <v>149</v>
      </c>
      <c r="E12" t="s">
        <v>112</v>
      </c>
      <c r="F12" t="s">
        <v>113</v>
      </c>
      <c r="G12" t="s">
        <v>107</v>
      </c>
      <c r="H12" t="s">
        <v>150</v>
      </c>
    </row>
    <row r="13" spans="1:8" x14ac:dyDescent="0.3">
      <c r="A13" t="s">
        <v>151</v>
      </c>
      <c r="B13" t="s">
        <v>152</v>
      </c>
      <c r="C13" t="s">
        <v>68</v>
      </c>
      <c r="D13" t="s">
        <v>153</v>
      </c>
      <c r="E13" t="s">
        <v>105</v>
      </c>
      <c r="F13" t="s">
        <v>154</v>
      </c>
      <c r="G13" t="s">
        <v>155</v>
      </c>
      <c r="H13" t="s">
        <v>141</v>
      </c>
    </row>
    <row r="14" spans="1:8" x14ac:dyDescent="0.3">
      <c r="A14" t="s">
        <v>156</v>
      </c>
      <c r="B14" t="s">
        <v>157</v>
      </c>
      <c r="C14" t="s">
        <v>78</v>
      </c>
      <c r="D14" t="s">
        <v>158</v>
      </c>
      <c r="E14" t="s">
        <v>112</v>
      </c>
      <c r="F14" t="s">
        <v>106</v>
      </c>
      <c r="G14" t="s">
        <v>107</v>
      </c>
      <c r="H14" t="s">
        <v>39</v>
      </c>
    </row>
    <row r="15" spans="1:8" x14ac:dyDescent="0.3">
      <c r="A15" t="s">
        <v>159</v>
      </c>
      <c r="B15" t="s">
        <v>160</v>
      </c>
      <c r="C15" t="s">
        <v>12</v>
      </c>
      <c r="D15" t="s">
        <v>161</v>
      </c>
      <c r="E15" t="s">
        <v>112</v>
      </c>
      <c r="F15" t="s">
        <v>113</v>
      </c>
      <c r="G15" t="s">
        <v>107</v>
      </c>
      <c r="H15" t="s">
        <v>162</v>
      </c>
    </row>
    <row r="16" spans="1:8" x14ac:dyDescent="0.3">
      <c r="A16" t="s">
        <v>163</v>
      </c>
      <c r="B16" t="s">
        <v>164</v>
      </c>
      <c r="C16" t="s">
        <v>36</v>
      </c>
      <c r="D16" t="s">
        <v>165</v>
      </c>
      <c r="E16" t="s">
        <v>118</v>
      </c>
      <c r="F16" t="s">
        <v>113</v>
      </c>
      <c r="G16" t="s">
        <v>107</v>
      </c>
      <c r="H16" t="s">
        <v>166</v>
      </c>
    </row>
    <row r="17" spans="1:8" x14ac:dyDescent="0.3">
      <c r="A17" t="s">
        <v>167</v>
      </c>
      <c r="B17" t="s">
        <v>168</v>
      </c>
      <c r="C17" t="s">
        <v>93</v>
      </c>
      <c r="D17" t="s">
        <v>169</v>
      </c>
      <c r="E17" t="s">
        <v>127</v>
      </c>
      <c r="F17" t="s">
        <v>113</v>
      </c>
      <c r="G17" t="s">
        <v>107</v>
      </c>
      <c r="H17" t="s">
        <v>93</v>
      </c>
    </row>
    <row r="18" spans="1:8" x14ac:dyDescent="0.3">
      <c r="A18" t="s">
        <v>170</v>
      </c>
      <c r="B18" t="s">
        <v>171</v>
      </c>
      <c r="C18" t="s">
        <v>78</v>
      </c>
      <c r="D18" t="s">
        <v>172</v>
      </c>
      <c r="E18" t="s">
        <v>127</v>
      </c>
      <c r="F18" t="s">
        <v>122</v>
      </c>
      <c r="G18" t="s">
        <v>107</v>
      </c>
      <c r="H18" t="s">
        <v>91</v>
      </c>
    </row>
    <row r="19" spans="1:8" x14ac:dyDescent="0.3">
      <c r="A19" t="s">
        <v>173</v>
      </c>
      <c r="B19" t="s">
        <v>174</v>
      </c>
      <c r="C19" t="s">
        <v>50</v>
      </c>
      <c r="D19" t="s">
        <v>175</v>
      </c>
      <c r="E19" t="s">
        <v>105</v>
      </c>
      <c r="F19" t="s">
        <v>154</v>
      </c>
      <c r="G19" t="s">
        <v>107</v>
      </c>
      <c r="H19" t="s">
        <v>176</v>
      </c>
    </row>
    <row r="20" spans="1:8" x14ac:dyDescent="0.3">
      <c r="A20" t="s">
        <v>177</v>
      </c>
      <c r="B20" t="s">
        <v>178</v>
      </c>
      <c r="C20" t="s">
        <v>62</v>
      </c>
      <c r="D20" t="s">
        <v>179</v>
      </c>
      <c r="E20" t="s">
        <v>105</v>
      </c>
      <c r="F20" t="s">
        <v>113</v>
      </c>
      <c r="G20" t="s">
        <v>107</v>
      </c>
      <c r="H20" t="s">
        <v>180</v>
      </c>
    </row>
    <row r="21" spans="1:8" x14ac:dyDescent="0.3">
      <c r="A21" t="s">
        <v>181</v>
      </c>
      <c r="B21" t="s">
        <v>182</v>
      </c>
      <c r="C21" t="s">
        <v>52</v>
      </c>
      <c r="D21" t="s">
        <v>183</v>
      </c>
      <c r="E21" t="s">
        <v>112</v>
      </c>
      <c r="F21" t="s">
        <v>113</v>
      </c>
      <c r="G21" t="s">
        <v>107</v>
      </c>
      <c r="H21" t="s">
        <v>137</v>
      </c>
    </row>
    <row r="22" spans="1:8" x14ac:dyDescent="0.3">
      <c r="A22" t="s">
        <v>184</v>
      </c>
      <c r="B22" t="s">
        <v>185</v>
      </c>
      <c r="C22" t="s">
        <v>39</v>
      </c>
      <c r="D22" t="s">
        <v>186</v>
      </c>
      <c r="E22" t="s">
        <v>127</v>
      </c>
      <c r="F22" t="s">
        <v>154</v>
      </c>
      <c r="G22" t="s">
        <v>107</v>
      </c>
      <c r="H22" t="s">
        <v>187</v>
      </c>
    </row>
    <row r="23" spans="1:8" x14ac:dyDescent="0.3">
      <c r="A23" t="s">
        <v>188</v>
      </c>
      <c r="B23" t="s">
        <v>189</v>
      </c>
      <c r="C23" t="s">
        <v>54</v>
      </c>
      <c r="D23" t="s">
        <v>190</v>
      </c>
      <c r="E23" t="s">
        <v>127</v>
      </c>
      <c r="F23" t="s">
        <v>113</v>
      </c>
      <c r="G23" t="s">
        <v>107</v>
      </c>
      <c r="H23" t="s">
        <v>191</v>
      </c>
    </row>
    <row r="24" spans="1:8" x14ac:dyDescent="0.3">
      <c r="A24" t="s">
        <v>192</v>
      </c>
      <c r="B24" t="s">
        <v>193</v>
      </c>
      <c r="C24" t="s">
        <v>78</v>
      </c>
      <c r="D24" t="s">
        <v>194</v>
      </c>
      <c r="E24" t="s">
        <v>140</v>
      </c>
      <c r="F24" t="s">
        <v>113</v>
      </c>
      <c r="G24" t="s">
        <v>107</v>
      </c>
      <c r="H24" t="s">
        <v>131</v>
      </c>
    </row>
    <row r="25" spans="1:8" x14ac:dyDescent="0.3">
      <c r="A25" t="s">
        <v>195</v>
      </c>
      <c r="B25" t="s">
        <v>196</v>
      </c>
      <c r="C25" t="s">
        <v>20</v>
      </c>
      <c r="D25" t="s">
        <v>197</v>
      </c>
      <c r="E25" t="s">
        <v>140</v>
      </c>
      <c r="F25" t="s">
        <v>113</v>
      </c>
      <c r="G25" t="s">
        <v>198</v>
      </c>
      <c r="H25" t="s">
        <v>84</v>
      </c>
    </row>
    <row r="26" spans="1:8" x14ac:dyDescent="0.3">
      <c r="A26" t="s">
        <v>199</v>
      </c>
      <c r="B26" t="s">
        <v>200</v>
      </c>
      <c r="C26" t="s">
        <v>56</v>
      </c>
      <c r="D26" t="s">
        <v>201</v>
      </c>
      <c r="E26" t="s">
        <v>140</v>
      </c>
      <c r="F26" t="s">
        <v>106</v>
      </c>
      <c r="G26" t="s">
        <v>107</v>
      </c>
      <c r="H26" t="s">
        <v>32</v>
      </c>
    </row>
    <row r="27" spans="1:8" x14ac:dyDescent="0.3">
      <c r="A27" t="s">
        <v>202</v>
      </c>
      <c r="B27" t="s">
        <v>203</v>
      </c>
      <c r="C27" t="s">
        <v>41</v>
      </c>
      <c r="D27" t="s">
        <v>204</v>
      </c>
      <c r="E27" t="s">
        <v>140</v>
      </c>
      <c r="F27" t="s">
        <v>113</v>
      </c>
      <c r="G27" t="s">
        <v>107</v>
      </c>
      <c r="H27" t="s">
        <v>62</v>
      </c>
    </row>
    <row r="28" spans="1:8" x14ac:dyDescent="0.3">
      <c r="A28" t="s">
        <v>205</v>
      </c>
      <c r="B28" t="s">
        <v>206</v>
      </c>
      <c r="C28" t="s">
        <v>74</v>
      </c>
      <c r="D28" t="s">
        <v>207</v>
      </c>
      <c r="E28" t="s">
        <v>112</v>
      </c>
      <c r="F28" t="s">
        <v>154</v>
      </c>
      <c r="G28" t="s">
        <v>107</v>
      </c>
      <c r="H28" t="s">
        <v>208</v>
      </c>
    </row>
    <row r="29" spans="1:8" x14ac:dyDescent="0.3">
      <c r="A29" t="s">
        <v>209</v>
      </c>
      <c r="B29" t="s">
        <v>210</v>
      </c>
      <c r="C29" t="s">
        <v>87</v>
      </c>
      <c r="D29" t="s">
        <v>211</v>
      </c>
      <c r="E29" t="s">
        <v>127</v>
      </c>
      <c r="F29" t="s">
        <v>113</v>
      </c>
      <c r="G29" t="s">
        <v>107</v>
      </c>
      <c r="H29" t="s">
        <v>60</v>
      </c>
    </row>
    <row r="30" spans="1:8" x14ac:dyDescent="0.3">
      <c r="A30" t="s">
        <v>212</v>
      </c>
      <c r="B30" t="s">
        <v>213</v>
      </c>
      <c r="C30" t="s">
        <v>64</v>
      </c>
      <c r="D30" t="s">
        <v>214</v>
      </c>
      <c r="E30" t="s">
        <v>127</v>
      </c>
      <c r="F30" t="s">
        <v>106</v>
      </c>
      <c r="G30" t="s">
        <v>107</v>
      </c>
      <c r="H30" t="s">
        <v>74</v>
      </c>
    </row>
    <row r="31" spans="1:8" x14ac:dyDescent="0.3">
      <c r="A31" t="s">
        <v>215</v>
      </c>
      <c r="B31" t="s">
        <v>12</v>
      </c>
      <c r="C31" t="s">
        <v>23</v>
      </c>
      <c r="D31" t="s">
        <v>216</v>
      </c>
      <c r="E31" t="s">
        <v>118</v>
      </c>
      <c r="F31" t="s">
        <v>113</v>
      </c>
      <c r="G31" t="s">
        <v>107</v>
      </c>
      <c r="H31" t="s">
        <v>127</v>
      </c>
    </row>
    <row r="32" spans="1:8" x14ac:dyDescent="0.3">
      <c r="A32" t="s">
        <v>217</v>
      </c>
      <c r="B32" t="s">
        <v>218</v>
      </c>
      <c r="C32" t="s">
        <v>72</v>
      </c>
      <c r="D32" t="s">
        <v>219</v>
      </c>
      <c r="E32" t="s">
        <v>220</v>
      </c>
      <c r="F32" t="s">
        <v>154</v>
      </c>
      <c r="G32" t="s">
        <v>107</v>
      </c>
      <c r="H32" t="s">
        <v>20</v>
      </c>
    </row>
    <row r="33" spans="1:8" x14ac:dyDescent="0.3">
      <c r="A33" t="s">
        <v>221</v>
      </c>
      <c r="B33" t="s">
        <v>222</v>
      </c>
      <c r="C33" t="s">
        <v>72</v>
      </c>
      <c r="D33" t="s">
        <v>223</v>
      </c>
      <c r="E33" t="s">
        <v>140</v>
      </c>
      <c r="F33" t="s">
        <v>113</v>
      </c>
      <c r="G33" t="s">
        <v>107</v>
      </c>
      <c r="H33" t="s">
        <v>46</v>
      </c>
    </row>
    <row r="34" spans="1:8" x14ac:dyDescent="0.3">
      <c r="A34" t="s">
        <v>224</v>
      </c>
      <c r="B34" t="s">
        <v>225</v>
      </c>
      <c r="C34" t="s">
        <v>84</v>
      </c>
      <c r="D34" t="s">
        <v>226</v>
      </c>
      <c r="E34" t="s">
        <v>227</v>
      </c>
      <c r="F34" t="s">
        <v>113</v>
      </c>
      <c r="G34" t="s">
        <v>107</v>
      </c>
      <c r="H34" t="s">
        <v>228</v>
      </c>
    </row>
    <row r="35" spans="1:8" x14ac:dyDescent="0.3">
      <c r="A35" t="s">
        <v>229</v>
      </c>
      <c r="B35" t="s">
        <v>230</v>
      </c>
      <c r="C35" t="s">
        <v>68</v>
      </c>
      <c r="D35" t="s">
        <v>231</v>
      </c>
      <c r="E35" t="s">
        <v>112</v>
      </c>
      <c r="F35" t="s">
        <v>106</v>
      </c>
      <c r="G35" t="s">
        <v>107</v>
      </c>
      <c r="H35" t="s">
        <v>176</v>
      </c>
    </row>
    <row r="36" spans="1:8" x14ac:dyDescent="0.3">
      <c r="A36" t="s">
        <v>232</v>
      </c>
      <c r="B36" t="s">
        <v>233</v>
      </c>
      <c r="C36" t="s">
        <v>70</v>
      </c>
      <c r="D36" t="s">
        <v>234</v>
      </c>
      <c r="E36" t="s">
        <v>145</v>
      </c>
      <c r="F36" t="s">
        <v>122</v>
      </c>
      <c r="G36" t="s">
        <v>107</v>
      </c>
      <c r="H36" t="s">
        <v>78</v>
      </c>
    </row>
    <row r="37" spans="1:8" x14ac:dyDescent="0.3">
      <c r="A37" t="s">
        <v>235</v>
      </c>
      <c r="B37" t="s">
        <v>236</v>
      </c>
      <c r="C37" t="s">
        <v>48</v>
      </c>
      <c r="D37" t="s">
        <v>237</v>
      </c>
      <c r="E37" t="s">
        <v>227</v>
      </c>
      <c r="F37" t="s">
        <v>154</v>
      </c>
      <c r="G37" t="s">
        <v>107</v>
      </c>
      <c r="H37" t="s">
        <v>238</v>
      </c>
    </row>
    <row r="38" spans="1:8" x14ac:dyDescent="0.3">
      <c r="A38" t="s">
        <v>239</v>
      </c>
      <c r="B38" t="s">
        <v>240</v>
      </c>
      <c r="C38" t="s">
        <v>43</v>
      </c>
      <c r="D38" t="s">
        <v>241</v>
      </c>
      <c r="E38" t="s">
        <v>112</v>
      </c>
      <c r="F38" t="s">
        <v>113</v>
      </c>
      <c r="G38" t="s">
        <v>107</v>
      </c>
      <c r="H38" t="s">
        <v>82</v>
      </c>
    </row>
    <row r="39" spans="1:8" x14ac:dyDescent="0.3">
      <c r="A39" t="s">
        <v>242</v>
      </c>
      <c r="B39" t="s">
        <v>185</v>
      </c>
      <c r="C39" t="s">
        <v>43</v>
      </c>
      <c r="D39" t="s">
        <v>243</v>
      </c>
      <c r="E39" t="s">
        <v>105</v>
      </c>
      <c r="F39" t="s">
        <v>154</v>
      </c>
      <c r="G39" t="s">
        <v>107</v>
      </c>
      <c r="H39" t="s">
        <v>80</v>
      </c>
    </row>
    <row r="40" spans="1:8" x14ac:dyDescent="0.3">
      <c r="A40" t="s">
        <v>244</v>
      </c>
      <c r="B40" t="s">
        <v>245</v>
      </c>
      <c r="C40" t="s">
        <v>20</v>
      </c>
      <c r="D40" t="s">
        <v>246</v>
      </c>
      <c r="E40" t="s">
        <v>118</v>
      </c>
      <c r="F40" t="s">
        <v>154</v>
      </c>
      <c r="G40" t="s">
        <v>107</v>
      </c>
      <c r="H40" t="s">
        <v>46</v>
      </c>
    </row>
    <row r="41" spans="1:8" x14ac:dyDescent="0.3">
      <c r="A41" t="s">
        <v>247</v>
      </c>
      <c r="B41" t="s">
        <v>114</v>
      </c>
      <c r="C41" t="s">
        <v>39</v>
      </c>
      <c r="D41" t="s">
        <v>248</v>
      </c>
      <c r="E41" t="s">
        <v>118</v>
      </c>
      <c r="F41" t="s">
        <v>113</v>
      </c>
      <c r="G41" t="s">
        <v>107</v>
      </c>
      <c r="H41" t="s">
        <v>25</v>
      </c>
    </row>
    <row r="42" spans="1:8" x14ac:dyDescent="0.3">
      <c r="A42" t="s">
        <v>249</v>
      </c>
      <c r="B42" t="s">
        <v>250</v>
      </c>
      <c r="C42" t="s">
        <v>72</v>
      </c>
      <c r="D42" t="s">
        <v>251</v>
      </c>
      <c r="E42" t="s">
        <v>118</v>
      </c>
      <c r="F42" t="s">
        <v>113</v>
      </c>
      <c r="G42" t="s">
        <v>107</v>
      </c>
      <c r="H42" t="s">
        <v>252</v>
      </c>
    </row>
    <row r="43" spans="1:8" x14ac:dyDescent="0.3">
      <c r="A43" t="s">
        <v>253</v>
      </c>
      <c r="B43" t="s">
        <v>254</v>
      </c>
      <c r="C43" t="s">
        <v>62</v>
      </c>
      <c r="D43" t="s">
        <v>255</v>
      </c>
      <c r="E43" t="s">
        <v>127</v>
      </c>
      <c r="F43" t="s">
        <v>113</v>
      </c>
      <c r="G43" t="s">
        <v>107</v>
      </c>
      <c r="H43" t="s">
        <v>238</v>
      </c>
    </row>
    <row r="44" spans="1:8" x14ac:dyDescent="0.3">
      <c r="A44" t="s">
        <v>256</v>
      </c>
      <c r="B44" t="s">
        <v>257</v>
      </c>
      <c r="C44" t="s">
        <v>62</v>
      </c>
      <c r="D44" t="s">
        <v>258</v>
      </c>
      <c r="E44" t="s">
        <v>118</v>
      </c>
      <c r="F44" t="s">
        <v>113</v>
      </c>
      <c r="G44" t="s">
        <v>107</v>
      </c>
      <c r="H44" t="s">
        <v>259</v>
      </c>
    </row>
    <row r="45" spans="1:8" x14ac:dyDescent="0.3">
      <c r="A45" t="s">
        <v>260</v>
      </c>
      <c r="B45" t="s">
        <v>261</v>
      </c>
      <c r="C45" t="s">
        <v>66</v>
      </c>
      <c r="D45" t="s">
        <v>262</v>
      </c>
      <c r="E45" t="s">
        <v>227</v>
      </c>
      <c r="F45" t="s">
        <v>113</v>
      </c>
      <c r="G45" t="s">
        <v>107</v>
      </c>
      <c r="H45" t="s">
        <v>263</v>
      </c>
    </row>
    <row r="46" spans="1:8" x14ac:dyDescent="0.3">
      <c r="A46" t="s">
        <v>264</v>
      </c>
      <c r="B46" t="s">
        <v>265</v>
      </c>
      <c r="C46" t="s">
        <v>41</v>
      </c>
      <c r="D46" t="s">
        <v>266</v>
      </c>
      <c r="E46" t="s">
        <v>127</v>
      </c>
      <c r="F46" t="s">
        <v>122</v>
      </c>
      <c r="G46" t="s">
        <v>107</v>
      </c>
      <c r="H46" t="s">
        <v>267</v>
      </c>
    </row>
    <row r="47" spans="1:8" x14ac:dyDescent="0.3">
      <c r="A47" t="s">
        <v>268</v>
      </c>
      <c r="B47" t="s">
        <v>269</v>
      </c>
      <c r="C47" t="s">
        <v>8</v>
      </c>
      <c r="D47" t="s">
        <v>270</v>
      </c>
      <c r="E47" t="s">
        <v>145</v>
      </c>
      <c r="F47" t="s">
        <v>106</v>
      </c>
      <c r="G47" t="s">
        <v>107</v>
      </c>
      <c r="H47" t="s">
        <v>112</v>
      </c>
    </row>
    <row r="48" spans="1:8" x14ac:dyDescent="0.3">
      <c r="A48" t="s">
        <v>271</v>
      </c>
      <c r="B48" t="s">
        <v>272</v>
      </c>
      <c r="C48" t="s">
        <v>32</v>
      </c>
      <c r="D48" t="s">
        <v>273</v>
      </c>
      <c r="E48" t="s">
        <v>274</v>
      </c>
      <c r="F48" t="s">
        <v>122</v>
      </c>
      <c r="G48" t="s">
        <v>107</v>
      </c>
      <c r="H48" t="s">
        <v>191</v>
      </c>
    </row>
    <row r="49" spans="1:8" x14ac:dyDescent="0.3">
      <c r="A49" t="s">
        <v>275</v>
      </c>
      <c r="B49" t="s">
        <v>276</v>
      </c>
      <c r="C49" t="s">
        <v>8</v>
      </c>
      <c r="D49" t="s">
        <v>277</v>
      </c>
      <c r="E49" t="s">
        <v>145</v>
      </c>
      <c r="F49" t="s">
        <v>113</v>
      </c>
      <c r="G49" t="s">
        <v>107</v>
      </c>
      <c r="H49" t="s">
        <v>278</v>
      </c>
    </row>
    <row r="50" spans="1:8" x14ac:dyDescent="0.3">
      <c r="A50" t="s">
        <v>279</v>
      </c>
      <c r="B50" t="s">
        <v>39</v>
      </c>
      <c r="C50" t="s">
        <v>20</v>
      </c>
      <c r="D50" t="s">
        <v>280</v>
      </c>
      <c r="E50" t="s">
        <v>112</v>
      </c>
      <c r="F50" t="s">
        <v>106</v>
      </c>
      <c r="G50" t="s">
        <v>107</v>
      </c>
      <c r="H50" t="s">
        <v>281</v>
      </c>
    </row>
    <row r="51" spans="1:8" x14ac:dyDescent="0.3">
      <c r="A51" t="s">
        <v>282</v>
      </c>
      <c r="B51" t="s">
        <v>283</v>
      </c>
      <c r="C51" t="s">
        <v>34</v>
      </c>
      <c r="D51" t="s">
        <v>284</v>
      </c>
      <c r="E51" t="s">
        <v>112</v>
      </c>
      <c r="F51" t="s">
        <v>113</v>
      </c>
      <c r="G51" t="s">
        <v>107</v>
      </c>
      <c r="H51" t="s">
        <v>20</v>
      </c>
    </row>
    <row r="52" spans="1:8" x14ac:dyDescent="0.3">
      <c r="A52" t="s">
        <v>285</v>
      </c>
      <c r="B52" t="s">
        <v>286</v>
      </c>
      <c r="C52" t="s">
        <v>72</v>
      </c>
      <c r="D52" t="s">
        <v>287</v>
      </c>
      <c r="E52" t="s">
        <v>127</v>
      </c>
      <c r="F52" t="s">
        <v>113</v>
      </c>
      <c r="G52" t="s">
        <v>107</v>
      </c>
      <c r="H52" t="s">
        <v>288</v>
      </c>
    </row>
    <row r="53" spans="1:8" x14ac:dyDescent="0.3">
      <c r="A53" t="s">
        <v>289</v>
      </c>
      <c r="B53" t="s">
        <v>254</v>
      </c>
      <c r="C53" t="s">
        <v>46</v>
      </c>
      <c r="D53" t="s">
        <v>290</v>
      </c>
      <c r="E53" t="s">
        <v>274</v>
      </c>
      <c r="F53" t="s">
        <v>113</v>
      </c>
      <c r="G53" t="s">
        <v>107</v>
      </c>
      <c r="H53" t="s">
        <v>30</v>
      </c>
    </row>
    <row r="54" spans="1:8" x14ac:dyDescent="0.3">
      <c r="A54" t="s">
        <v>291</v>
      </c>
      <c r="B54" t="s">
        <v>245</v>
      </c>
      <c r="C54" t="s">
        <v>15</v>
      </c>
      <c r="D54" t="s">
        <v>292</v>
      </c>
      <c r="E54" t="s">
        <v>140</v>
      </c>
      <c r="F54" t="s">
        <v>113</v>
      </c>
      <c r="G54" t="s">
        <v>107</v>
      </c>
      <c r="H54" t="s">
        <v>141</v>
      </c>
    </row>
    <row r="55" spans="1:8" x14ac:dyDescent="0.3">
      <c r="A55" t="s">
        <v>293</v>
      </c>
      <c r="B55" t="s">
        <v>294</v>
      </c>
      <c r="C55" t="s">
        <v>12</v>
      </c>
      <c r="D55" t="s">
        <v>295</v>
      </c>
      <c r="E55" t="s">
        <v>227</v>
      </c>
      <c r="F55" t="s">
        <v>106</v>
      </c>
      <c r="G55" t="s">
        <v>107</v>
      </c>
      <c r="H55" t="s">
        <v>296</v>
      </c>
    </row>
    <row r="56" spans="1:8" x14ac:dyDescent="0.3">
      <c r="A56" t="s">
        <v>297</v>
      </c>
      <c r="B56" t="s">
        <v>32</v>
      </c>
      <c r="C56" t="s">
        <v>93</v>
      </c>
      <c r="D56" t="s">
        <v>298</v>
      </c>
      <c r="E56" t="s">
        <v>145</v>
      </c>
      <c r="F56" t="s">
        <v>113</v>
      </c>
      <c r="G56" t="s">
        <v>107</v>
      </c>
      <c r="H56" t="s">
        <v>50</v>
      </c>
    </row>
    <row r="57" spans="1:8" x14ac:dyDescent="0.3">
      <c r="A57" t="s">
        <v>299</v>
      </c>
      <c r="B57" t="s">
        <v>125</v>
      </c>
      <c r="C57" t="s">
        <v>25</v>
      </c>
      <c r="D57" t="s">
        <v>300</v>
      </c>
      <c r="E57" t="s">
        <v>127</v>
      </c>
      <c r="F57" t="s">
        <v>113</v>
      </c>
      <c r="G57" t="s">
        <v>107</v>
      </c>
      <c r="H57" t="s">
        <v>301</v>
      </c>
    </row>
    <row r="58" spans="1:8" x14ac:dyDescent="0.3">
      <c r="A58" t="s">
        <v>302</v>
      </c>
      <c r="B58" t="s">
        <v>303</v>
      </c>
      <c r="C58" t="s">
        <v>60</v>
      </c>
      <c r="D58" t="s">
        <v>304</v>
      </c>
      <c r="E58" t="s">
        <v>145</v>
      </c>
      <c r="F58" t="s">
        <v>106</v>
      </c>
      <c r="G58" t="s">
        <v>107</v>
      </c>
      <c r="H58" t="s">
        <v>54</v>
      </c>
    </row>
    <row r="59" spans="1:8" x14ac:dyDescent="0.3">
      <c r="A59" t="s">
        <v>305</v>
      </c>
      <c r="B59" t="s">
        <v>191</v>
      </c>
      <c r="C59" t="s">
        <v>32</v>
      </c>
      <c r="D59" t="s">
        <v>306</v>
      </c>
      <c r="E59" t="s">
        <v>145</v>
      </c>
      <c r="F59" t="s">
        <v>113</v>
      </c>
      <c r="G59" t="s">
        <v>107</v>
      </c>
      <c r="H59" t="s">
        <v>91</v>
      </c>
    </row>
    <row r="60" spans="1:8" x14ac:dyDescent="0.3">
      <c r="A60" t="s">
        <v>307</v>
      </c>
      <c r="B60" t="s">
        <v>308</v>
      </c>
      <c r="C60" t="s">
        <v>87</v>
      </c>
      <c r="D60" t="s">
        <v>309</v>
      </c>
      <c r="E60" t="s">
        <v>112</v>
      </c>
      <c r="F60" t="s">
        <v>106</v>
      </c>
      <c r="G60" t="s">
        <v>107</v>
      </c>
      <c r="H60" t="s">
        <v>180</v>
      </c>
    </row>
    <row r="61" spans="1:8" x14ac:dyDescent="0.3">
      <c r="A61" t="s">
        <v>310</v>
      </c>
      <c r="B61" t="s">
        <v>311</v>
      </c>
      <c r="C61" t="s">
        <v>17</v>
      </c>
      <c r="D61" t="s">
        <v>312</v>
      </c>
      <c r="E61" t="s">
        <v>105</v>
      </c>
      <c r="F61" t="s">
        <v>113</v>
      </c>
      <c r="G61" t="s">
        <v>107</v>
      </c>
      <c r="H61" t="s">
        <v>313</v>
      </c>
    </row>
    <row r="62" spans="1:8" x14ac:dyDescent="0.3">
      <c r="A62" t="s">
        <v>314</v>
      </c>
      <c r="B62" t="s">
        <v>252</v>
      </c>
      <c r="C62" t="s">
        <v>52</v>
      </c>
      <c r="D62" t="s">
        <v>315</v>
      </c>
      <c r="E62" t="s">
        <v>112</v>
      </c>
      <c r="F62" t="s">
        <v>122</v>
      </c>
      <c r="G62" t="s">
        <v>107</v>
      </c>
      <c r="H62" t="s">
        <v>316</v>
      </c>
    </row>
    <row r="63" spans="1:8" x14ac:dyDescent="0.3">
      <c r="A63" t="s">
        <v>317</v>
      </c>
      <c r="B63" t="s">
        <v>318</v>
      </c>
      <c r="C63" t="s">
        <v>12</v>
      </c>
      <c r="D63" t="s">
        <v>319</v>
      </c>
      <c r="E63" t="s">
        <v>127</v>
      </c>
      <c r="F63" t="s">
        <v>106</v>
      </c>
      <c r="G63" t="s">
        <v>107</v>
      </c>
      <c r="H63" t="s">
        <v>141</v>
      </c>
    </row>
    <row r="64" spans="1:8" x14ac:dyDescent="0.3">
      <c r="A64" t="s">
        <v>320</v>
      </c>
      <c r="B64" t="s">
        <v>321</v>
      </c>
      <c r="C64" t="s">
        <v>17</v>
      </c>
      <c r="D64" t="s">
        <v>322</v>
      </c>
      <c r="E64" t="s">
        <v>145</v>
      </c>
      <c r="F64" t="s">
        <v>113</v>
      </c>
      <c r="G64" t="s">
        <v>107</v>
      </c>
      <c r="H64" t="s">
        <v>323</v>
      </c>
    </row>
    <row r="65" spans="1:8" x14ac:dyDescent="0.3">
      <c r="A65" t="s">
        <v>324</v>
      </c>
      <c r="B65" t="s">
        <v>254</v>
      </c>
      <c r="C65" t="s">
        <v>76</v>
      </c>
      <c r="D65" t="s">
        <v>325</v>
      </c>
      <c r="E65" t="s">
        <v>112</v>
      </c>
      <c r="F65" t="s">
        <v>154</v>
      </c>
      <c r="G65" t="s">
        <v>107</v>
      </c>
      <c r="H65" t="s">
        <v>36</v>
      </c>
    </row>
    <row r="66" spans="1:8" x14ac:dyDescent="0.3">
      <c r="A66" t="s">
        <v>326</v>
      </c>
      <c r="B66" t="s">
        <v>133</v>
      </c>
      <c r="C66" t="s">
        <v>30</v>
      </c>
      <c r="D66" t="s">
        <v>327</v>
      </c>
      <c r="E66" t="s">
        <v>220</v>
      </c>
      <c r="F66" t="s">
        <v>113</v>
      </c>
      <c r="G66" t="s">
        <v>107</v>
      </c>
      <c r="H66" t="s">
        <v>187</v>
      </c>
    </row>
    <row r="67" spans="1:8" x14ac:dyDescent="0.3">
      <c r="A67" t="s">
        <v>328</v>
      </c>
      <c r="B67" t="s">
        <v>294</v>
      </c>
      <c r="C67" t="s">
        <v>48</v>
      </c>
      <c r="D67" t="s">
        <v>329</v>
      </c>
      <c r="E67" t="s">
        <v>220</v>
      </c>
      <c r="F67" t="s">
        <v>154</v>
      </c>
      <c r="G67" t="s">
        <v>107</v>
      </c>
      <c r="H67" t="s">
        <v>208</v>
      </c>
    </row>
    <row r="68" spans="1:8" x14ac:dyDescent="0.3">
      <c r="A68" t="s">
        <v>330</v>
      </c>
      <c r="B68" t="s">
        <v>331</v>
      </c>
      <c r="C68" t="s">
        <v>72</v>
      </c>
      <c r="D68" t="s">
        <v>332</v>
      </c>
      <c r="E68" t="s">
        <v>140</v>
      </c>
      <c r="F68" t="s">
        <v>106</v>
      </c>
      <c r="G68" t="s">
        <v>107</v>
      </c>
      <c r="H68" t="s">
        <v>187</v>
      </c>
    </row>
    <row r="69" spans="1:8" x14ac:dyDescent="0.3">
      <c r="A69" t="s">
        <v>333</v>
      </c>
      <c r="B69" t="s">
        <v>334</v>
      </c>
      <c r="C69" t="s">
        <v>54</v>
      </c>
      <c r="D69" t="s">
        <v>335</v>
      </c>
      <c r="E69" t="s">
        <v>112</v>
      </c>
      <c r="F69" t="s">
        <v>154</v>
      </c>
      <c r="G69" t="s">
        <v>107</v>
      </c>
      <c r="H69" t="s">
        <v>74</v>
      </c>
    </row>
    <row r="70" spans="1:8" x14ac:dyDescent="0.3">
      <c r="A70" t="s">
        <v>336</v>
      </c>
      <c r="B70" t="s">
        <v>337</v>
      </c>
      <c r="C70" t="s">
        <v>43</v>
      </c>
      <c r="D70" t="s">
        <v>338</v>
      </c>
      <c r="E70" t="s">
        <v>112</v>
      </c>
      <c r="F70" t="s">
        <v>113</v>
      </c>
      <c r="G70" t="s">
        <v>107</v>
      </c>
      <c r="H70" t="s">
        <v>296</v>
      </c>
    </row>
    <row r="71" spans="1:8" x14ac:dyDescent="0.3">
      <c r="A71" t="s">
        <v>339</v>
      </c>
      <c r="B71" t="s">
        <v>125</v>
      </c>
      <c r="C71" t="s">
        <v>62</v>
      </c>
      <c r="D71" t="s">
        <v>340</v>
      </c>
      <c r="E71" t="s">
        <v>112</v>
      </c>
      <c r="F71" t="s">
        <v>113</v>
      </c>
      <c r="G71" t="s">
        <v>107</v>
      </c>
      <c r="H71" t="s">
        <v>341</v>
      </c>
    </row>
    <row r="72" spans="1:8" x14ac:dyDescent="0.3">
      <c r="A72" t="s">
        <v>342</v>
      </c>
      <c r="B72" t="s">
        <v>343</v>
      </c>
      <c r="C72" t="s">
        <v>34</v>
      </c>
      <c r="D72" t="s">
        <v>344</v>
      </c>
      <c r="E72" t="s">
        <v>220</v>
      </c>
      <c r="F72" t="s">
        <v>106</v>
      </c>
      <c r="G72" t="s">
        <v>107</v>
      </c>
      <c r="H72" t="s">
        <v>267</v>
      </c>
    </row>
    <row r="73" spans="1:8" x14ac:dyDescent="0.3">
      <c r="A73" t="s">
        <v>345</v>
      </c>
      <c r="B73" t="s">
        <v>346</v>
      </c>
      <c r="C73" t="s">
        <v>56</v>
      </c>
      <c r="D73" t="s">
        <v>347</v>
      </c>
      <c r="E73" t="s">
        <v>220</v>
      </c>
      <c r="F73" t="s">
        <v>113</v>
      </c>
      <c r="G73" t="s">
        <v>107</v>
      </c>
      <c r="H73" t="s">
        <v>82</v>
      </c>
    </row>
    <row r="74" spans="1:8" x14ac:dyDescent="0.3">
      <c r="A74" t="s">
        <v>348</v>
      </c>
      <c r="B74" t="s">
        <v>349</v>
      </c>
      <c r="C74" t="s">
        <v>84</v>
      </c>
      <c r="D74" t="s">
        <v>350</v>
      </c>
      <c r="E74" t="s">
        <v>140</v>
      </c>
      <c r="F74" t="s">
        <v>106</v>
      </c>
      <c r="G74" t="s">
        <v>107</v>
      </c>
      <c r="H74" t="s">
        <v>4</v>
      </c>
    </row>
    <row r="75" spans="1:8" x14ac:dyDescent="0.3">
      <c r="A75" t="s">
        <v>351</v>
      </c>
      <c r="B75" t="s">
        <v>352</v>
      </c>
      <c r="C75" t="s">
        <v>66</v>
      </c>
      <c r="D75" t="s">
        <v>353</v>
      </c>
      <c r="E75" t="s">
        <v>220</v>
      </c>
      <c r="F75" t="s">
        <v>106</v>
      </c>
      <c r="G75" t="s">
        <v>107</v>
      </c>
      <c r="H75" t="s">
        <v>267</v>
      </c>
    </row>
    <row r="76" spans="1:8" x14ac:dyDescent="0.3">
      <c r="A76" t="s">
        <v>354</v>
      </c>
      <c r="B76" t="s">
        <v>233</v>
      </c>
      <c r="C76" t="s">
        <v>76</v>
      </c>
      <c r="D76" t="s">
        <v>355</v>
      </c>
      <c r="E76" t="s">
        <v>227</v>
      </c>
      <c r="F76" t="s">
        <v>113</v>
      </c>
      <c r="G76" t="s">
        <v>107</v>
      </c>
      <c r="H76" t="s">
        <v>356</v>
      </c>
    </row>
    <row r="77" spans="1:8" x14ac:dyDescent="0.3">
      <c r="A77" t="s">
        <v>357</v>
      </c>
      <c r="B77" t="s">
        <v>358</v>
      </c>
      <c r="C77" t="s">
        <v>41</v>
      </c>
      <c r="D77" t="s">
        <v>359</v>
      </c>
      <c r="E77" t="s">
        <v>274</v>
      </c>
      <c r="F77" t="s">
        <v>113</v>
      </c>
      <c r="G77" t="s">
        <v>107</v>
      </c>
      <c r="H77" t="s">
        <v>137</v>
      </c>
    </row>
    <row r="78" spans="1:8" x14ac:dyDescent="0.3">
      <c r="A78" t="s">
        <v>360</v>
      </c>
      <c r="B78" t="s">
        <v>361</v>
      </c>
      <c r="C78" t="s">
        <v>89</v>
      </c>
      <c r="D78" t="s">
        <v>362</v>
      </c>
      <c r="E78" t="s">
        <v>220</v>
      </c>
      <c r="F78" t="s">
        <v>154</v>
      </c>
      <c r="G78" t="s">
        <v>107</v>
      </c>
      <c r="H78" t="s">
        <v>363</v>
      </c>
    </row>
    <row r="79" spans="1:8" x14ac:dyDescent="0.3">
      <c r="A79" t="s">
        <v>364</v>
      </c>
      <c r="B79" t="s">
        <v>365</v>
      </c>
      <c r="C79" t="s">
        <v>68</v>
      </c>
      <c r="D79" t="s">
        <v>366</v>
      </c>
      <c r="E79" t="s">
        <v>145</v>
      </c>
      <c r="F79" t="s">
        <v>113</v>
      </c>
      <c r="G79" t="s">
        <v>107</v>
      </c>
      <c r="H79" t="s">
        <v>367</v>
      </c>
    </row>
    <row r="80" spans="1:8" x14ac:dyDescent="0.3">
      <c r="A80" t="s">
        <v>368</v>
      </c>
      <c r="B80" t="s">
        <v>369</v>
      </c>
      <c r="C80" t="s">
        <v>48</v>
      </c>
      <c r="D80" t="s">
        <v>370</v>
      </c>
      <c r="E80" t="s">
        <v>220</v>
      </c>
      <c r="F80" t="s">
        <v>113</v>
      </c>
      <c r="G80" t="s">
        <v>107</v>
      </c>
      <c r="H80" t="s">
        <v>91</v>
      </c>
    </row>
    <row r="81" spans="1:8" x14ac:dyDescent="0.3">
      <c r="A81" t="s">
        <v>371</v>
      </c>
      <c r="B81" t="s">
        <v>127</v>
      </c>
      <c r="C81" t="s">
        <v>54</v>
      </c>
      <c r="D81" t="s">
        <v>372</v>
      </c>
      <c r="E81" t="s">
        <v>220</v>
      </c>
      <c r="F81" t="s">
        <v>113</v>
      </c>
      <c r="G81" t="s">
        <v>107</v>
      </c>
      <c r="H81" t="s">
        <v>41</v>
      </c>
    </row>
    <row r="82" spans="1:8" x14ac:dyDescent="0.3">
      <c r="A82" t="s">
        <v>373</v>
      </c>
      <c r="B82" t="s">
        <v>367</v>
      </c>
      <c r="C82" t="s">
        <v>36</v>
      </c>
      <c r="D82" t="s">
        <v>374</v>
      </c>
      <c r="E82" t="s">
        <v>105</v>
      </c>
      <c r="F82" t="s">
        <v>122</v>
      </c>
      <c r="G82" t="s">
        <v>155</v>
      </c>
      <c r="H82" t="s">
        <v>66</v>
      </c>
    </row>
    <row r="83" spans="1:8" x14ac:dyDescent="0.3">
      <c r="A83" t="s">
        <v>375</v>
      </c>
      <c r="B83" t="s">
        <v>376</v>
      </c>
      <c r="C83" t="s">
        <v>80</v>
      </c>
      <c r="D83" t="s">
        <v>377</v>
      </c>
      <c r="E83" t="s">
        <v>112</v>
      </c>
      <c r="F83" t="s">
        <v>122</v>
      </c>
      <c r="G83" t="s">
        <v>107</v>
      </c>
      <c r="H83" t="s">
        <v>228</v>
      </c>
    </row>
    <row r="84" spans="1:8" x14ac:dyDescent="0.3">
      <c r="A84" t="s">
        <v>378</v>
      </c>
      <c r="B84" t="s">
        <v>123</v>
      </c>
      <c r="C84" t="s">
        <v>50</v>
      </c>
      <c r="D84" t="s">
        <v>379</v>
      </c>
      <c r="E84" t="s">
        <v>105</v>
      </c>
      <c r="F84" t="s">
        <v>122</v>
      </c>
      <c r="G84" t="s">
        <v>107</v>
      </c>
      <c r="H84" t="s">
        <v>70</v>
      </c>
    </row>
    <row r="85" spans="1:8" x14ac:dyDescent="0.3">
      <c r="A85" t="s">
        <v>380</v>
      </c>
      <c r="B85" t="s">
        <v>25</v>
      </c>
      <c r="C85" t="s">
        <v>82</v>
      </c>
      <c r="D85" t="s">
        <v>381</v>
      </c>
      <c r="E85" t="s">
        <v>127</v>
      </c>
      <c r="F85" t="s">
        <v>113</v>
      </c>
      <c r="G85" t="s">
        <v>107</v>
      </c>
      <c r="H85" t="s">
        <v>43</v>
      </c>
    </row>
    <row r="86" spans="1:8" x14ac:dyDescent="0.3">
      <c r="A86" t="s">
        <v>382</v>
      </c>
      <c r="B86" t="s">
        <v>383</v>
      </c>
      <c r="C86" t="s">
        <v>50</v>
      </c>
      <c r="D86" t="s">
        <v>384</v>
      </c>
      <c r="E86" t="s">
        <v>127</v>
      </c>
      <c r="F86" t="s">
        <v>113</v>
      </c>
      <c r="G86" t="s">
        <v>107</v>
      </c>
      <c r="H86" t="s">
        <v>385</v>
      </c>
    </row>
    <row r="87" spans="1:8" x14ac:dyDescent="0.3">
      <c r="A87" t="s">
        <v>386</v>
      </c>
      <c r="B87" t="s">
        <v>387</v>
      </c>
      <c r="C87" t="s">
        <v>23</v>
      </c>
      <c r="D87" t="s">
        <v>388</v>
      </c>
      <c r="E87" t="s">
        <v>105</v>
      </c>
      <c r="F87" t="s">
        <v>106</v>
      </c>
      <c r="G87" t="s">
        <v>107</v>
      </c>
      <c r="H87" t="s">
        <v>4</v>
      </c>
    </row>
    <row r="88" spans="1:8" x14ac:dyDescent="0.3">
      <c r="A88" t="s">
        <v>389</v>
      </c>
      <c r="B88" t="s">
        <v>390</v>
      </c>
      <c r="C88" t="s">
        <v>70</v>
      </c>
      <c r="D88" t="s">
        <v>391</v>
      </c>
      <c r="E88" t="s">
        <v>112</v>
      </c>
      <c r="F88" t="s">
        <v>106</v>
      </c>
      <c r="G88" t="s">
        <v>107</v>
      </c>
      <c r="H88" t="s">
        <v>341</v>
      </c>
    </row>
    <row r="89" spans="1:8" x14ac:dyDescent="0.3">
      <c r="A89" t="s">
        <v>392</v>
      </c>
      <c r="B89" t="s">
        <v>393</v>
      </c>
      <c r="C89" t="s">
        <v>25</v>
      </c>
      <c r="D89" t="s">
        <v>394</v>
      </c>
      <c r="E89" t="s">
        <v>112</v>
      </c>
      <c r="F89" t="s">
        <v>113</v>
      </c>
      <c r="G89" t="s">
        <v>198</v>
      </c>
      <c r="H89" t="s">
        <v>25</v>
      </c>
    </row>
    <row r="90" spans="1:8" x14ac:dyDescent="0.3">
      <c r="A90" t="s">
        <v>395</v>
      </c>
      <c r="B90" t="s">
        <v>396</v>
      </c>
      <c r="C90" t="s">
        <v>15</v>
      </c>
      <c r="D90" t="s">
        <v>397</v>
      </c>
      <c r="E90" t="s">
        <v>140</v>
      </c>
      <c r="F90" t="s">
        <v>106</v>
      </c>
      <c r="G90" t="s">
        <v>107</v>
      </c>
      <c r="H90" t="s">
        <v>50</v>
      </c>
    </row>
    <row r="91" spans="1:8" x14ac:dyDescent="0.3">
      <c r="A91" t="s">
        <v>398</v>
      </c>
      <c r="B91" t="s">
        <v>141</v>
      </c>
      <c r="C91" t="s">
        <v>43</v>
      </c>
      <c r="D91" t="s">
        <v>399</v>
      </c>
      <c r="E91" t="s">
        <v>227</v>
      </c>
      <c r="F91" t="s">
        <v>113</v>
      </c>
      <c r="G91" t="s">
        <v>107</v>
      </c>
      <c r="H91" t="s">
        <v>41</v>
      </c>
    </row>
    <row r="92" spans="1:8" x14ac:dyDescent="0.3">
      <c r="A92" t="s">
        <v>400</v>
      </c>
      <c r="B92" t="s">
        <v>152</v>
      </c>
      <c r="C92" t="s">
        <v>93</v>
      </c>
      <c r="D92" t="s">
        <v>401</v>
      </c>
      <c r="E92" t="s">
        <v>140</v>
      </c>
      <c r="F92" t="s">
        <v>154</v>
      </c>
      <c r="G92" t="s">
        <v>107</v>
      </c>
      <c r="H92" t="s">
        <v>68</v>
      </c>
    </row>
    <row r="93" spans="1:8" x14ac:dyDescent="0.3">
      <c r="A93" t="s">
        <v>402</v>
      </c>
      <c r="B93" t="s">
        <v>337</v>
      </c>
      <c r="C93" t="s">
        <v>70</v>
      </c>
      <c r="D93" t="s">
        <v>403</v>
      </c>
      <c r="E93" t="s">
        <v>145</v>
      </c>
      <c r="F93" t="s">
        <v>113</v>
      </c>
      <c r="G93" t="s">
        <v>107</v>
      </c>
      <c r="H93" t="s">
        <v>89</v>
      </c>
    </row>
    <row r="94" spans="1:8" x14ac:dyDescent="0.3">
      <c r="A94" t="s">
        <v>404</v>
      </c>
      <c r="B94" t="s">
        <v>405</v>
      </c>
      <c r="C94" t="s">
        <v>87</v>
      </c>
      <c r="D94" t="s">
        <v>406</v>
      </c>
      <c r="E94" t="s">
        <v>220</v>
      </c>
      <c r="F94" t="s">
        <v>106</v>
      </c>
      <c r="G94" t="s">
        <v>107</v>
      </c>
      <c r="H94" t="s">
        <v>114</v>
      </c>
    </row>
    <row r="95" spans="1:8" x14ac:dyDescent="0.3">
      <c r="A95" t="s">
        <v>407</v>
      </c>
      <c r="B95" t="s">
        <v>137</v>
      </c>
      <c r="C95" t="s">
        <v>39</v>
      </c>
      <c r="D95" t="s">
        <v>408</v>
      </c>
      <c r="E95" t="s">
        <v>118</v>
      </c>
      <c r="F95" t="s">
        <v>113</v>
      </c>
      <c r="G95" t="s">
        <v>107</v>
      </c>
      <c r="H95" t="s">
        <v>409</v>
      </c>
    </row>
    <row r="96" spans="1:8" x14ac:dyDescent="0.3">
      <c r="A96" t="s">
        <v>410</v>
      </c>
      <c r="B96" t="s">
        <v>146</v>
      </c>
      <c r="C96" t="s">
        <v>32</v>
      </c>
      <c r="D96" t="s">
        <v>411</v>
      </c>
      <c r="E96" t="s">
        <v>112</v>
      </c>
      <c r="F96" t="s">
        <v>106</v>
      </c>
      <c r="G96" t="s">
        <v>107</v>
      </c>
      <c r="H96" t="s">
        <v>72</v>
      </c>
    </row>
    <row r="97" spans="1:8" x14ac:dyDescent="0.3">
      <c r="A97" t="s">
        <v>412</v>
      </c>
      <c r="B97" t="s">
        <v>413</v>
      </c>
      <c r="C97" t="s">
        <v>4</v>
      </c>
      <c r="D97" t="s">
        <v>414</v>
      </c>
      <c r="E97" t="s">
        <v>227</v>
      </c>
      <c r="F97" t="s">
        <v>113</v>
      </c>
      <c r="G97" t="s">
        <v>107</v>
      </c>
      <c r="H97" t="s">
        <v>415</v>
      </c>
    </row>
    <row r="98" spans="1:8" x14ac:dyDescent="0.3">
      <c r="A98" t="s">
        <v>416</v>
      </c>
      <c r="B98" t="s">
        <v>417</v>
      </c>
      <c r="C98" t="s">
        <v>50</v>
      </c>
      <c r="D98" t="s">
        <v>418</v>
      </c>
      <c r="E98" t="s">
        <v>145</v>
      </c>
      <c r="F98" t="s">
        <v>113</v>
      </c>
      <c r="G98" t="s">
        <v>107</v>
      </c>
      <c r="H98" t="s">
        <v>15</v>
      </c>
    </row>
    <row r="99" spans="1:8" x14ac:dyDescent="0.3">
      <c r="A99" t="s">
        <v>419</v>
      </c>
      <c r="B99" t="s">
        <v>420</v>
      </c>
      <c r="C99" t="s">
        <v>72</v>
      </c>
      <c r="D99" t="s">
        <v>421</v>
      </c>
      <c r="E99" t="s">
        <v>140</v>
      </c>
      <c r="F99" t="s">
        <v>113</v>
      </c>
      <c r="G99" t="s">
        <v>107</v>
      </c>
      <c r="H99" t="s">
        <v>28</v>
      </c>
    </row>
    <row r="100" spans="1:8" x14ac:dyDescent="0.3">
      <c r="A100" t="s">
        <v>422</v>
      </c>
      <c r="B100" t="s">
        <v>423</v>
      </c>
      <c r="C100" t="s">
        <v>89</v>
      </c>
      <c r="D100" t="s">
        <v>424</v>
      </c>
      <c r="E100" t="s">
        <v>145</v>
      </c>
      <c r="F100" t="s">
        <v>154</v>
      </c>
      <c r="G100" t="s">
        <v>107</v>
      </c>
      <c r="H100" t="s">
        <v>425</v>
      </c>
    </row>
    <row r="101" spans="1:8" x14ac:dyDescent="0.3">
      <c r="A101" t="s">
        <v>426</v>
      </c>
      <c r="B101" t="s">
        <v>191</v>
      </c>
      <c r="C101" t="s">
        <v>82</v>
      </c>
      <c r="D101" t="s">
        <v>427</v>
      </c>
      <c r="E101" t="s">
        <v>220</v>
      </c>
      <c r="F101" t="s">
        <v>113</v>
      </c>
      <c r="G101" t="s">
        <v>107</v>
      </c>
      <c r="H101" t="s">
        <v>68</v>
      </c>
    </row>
    <row r="102" spans="1:8" x14ac:dyDescent="0.3">
      <c r="A102" t="s">
        <v>428</v>
      </c>
      <c r="B102" t="s">
        <v>429</v>
      </c>
      <c r="C102" t="s">
        <v>30</v>
      </c>
      <c r="D102" t="s">
        <v>430</v>
      </c>
      <c r="E102" t="s">
        <v>145</v>
      </c>
      <c r="F102" t="s">
        <v>113</v>
      </c>
      <c r="G102" t="s">
        <v>107</v>
      </c>
      <c r="H102" t="s">
        <v>28</v>
      </c>
    </row>
    <row r="103" spans="1:8" x14ac:dyDescent="0.3">
      <c r="A103" t="s">
        <v>431</v>
      </c>
      <c r="B103" t="s">
        <v>432</v>
      </c>
      <c r="C103" t="s">
        <v>91</v>
      </c>
      <c r="D103" t="s">
        <v>433</v>
      </c>
      <c r="E103" t="s">
        <v>220</v>
      </c>
      <c r="F103" t="s">
        <v>122</v>
      </c>
      <c r="G103" t="s">
        <v>107</v>
      </c>
      <c r="H103" t="s">
        <v>367</v>
      </c>
    </row>
    <row r="104" spans="1:8" x14ac:dyDescent="0.3">
      <c r="A104" t="s">
        <v>434</v>
      </c>
      <c r="B104" t="s">
        <v>435</v>
      </c>
      <c r="C104" t="s">
        <v>70</v>
      </c>
      <c r="D104" t="s">
        <v>436</v>
      </c>
      <c r="E104" t="s">
        <v>127</v>
      </c>
      <c r="F104" t="s">
        <v>154</v>
      </c>
      <c r="G104" t="s">
        <v>107</v>
      </c>
      <c r="H104" t="s">
        <v>41</v>
      </c>
    </row>
    <row r="105" spans="1:8" x14ac:dyDescent="0.3">
      <c r="A105" t="s">
        <v>437</v>
      </c>
      <c r="B105" t="s">
        <v>174</v>
      </c>
      <c r="C105" t="s">
        <v>48</v>
      </c>
      <c r="D105" t="s">
        <v>438</v>
      </c>
      <c r="E105" t="s">
        <v>227</v>
      </c>
      <c r="F105" t="s">
        <v>113</v>
      </c>
      <c r="G105" t="s">
        <v>107</v>
      </c>
      <c r="H105" t="s">
        <v>323</v>
      </c>
    </row>
    <row r="106" spans="1:8" x14ac:dyDescent="0.3">
      <c r="A106" t="s">
        <v>439</v>
      </c>
      <c r="B106" t="s">
        <v>146</v>
      </c>
      <c r="C106" t="s">
        <v>91</v>
      </c>
      <c r="D106" t="s">
        <v>440</v>
      </c>
      <c r="E106" t="s">
        <v>105</v>
      </c>
      <c r="F106" t="s">
        <v>154</v>
      </c>
      <c r="G106" t="s">
        <v>107</v>
      </c>
      <c r="H106" t="s">
        <v>17</v>
      </c>
    </row>
    <row r="107" spans="1:8" x14ac:dyDescent="0.3">
      <c r="A107" t="s">
        <v>441</v>
      </c>
      <c r="B107" t="s">
        <v>442</v>
      </c>
      <c r="C107" t="s">
        <v>91</v>
      </c>
      <c r="D107" t="s">
        <v>443</v>
      </c>
      <c r="E107" t="s">
        <v>227</v>
      </c>
      <c r="F107" t="s">
        <v>113</v>
      </c>
      <c r="G107" t="s">
        <v>107</v>
      </c>
      <c r="H107" t="s">
        <v>76</v>
      </c>
    </row>
    <row r="108" spans="1:8" x14ac:dyDescent="0.3">
      <c r="A108" t="s">
        <v>444</v>
      </c>
      <c r="B108" t="s">
        <v>445</v>
      </c>
      <c r="C108" t="s">
        <v>87</v>
      </c>
      <c r="D108" t="s">
        <v>446</v>
      </c>
      <c r="E108" t="s">
        <v>127</v>
      </c>
      <c r="F108" t="s">
        <v>113</v>
      </c>
      <c r="G108" t="s">
        <v>107</v>
      </c>
      <c r="H108" t="s">
        <v>313</v>
      </c>
    </row>
    <row r="109" spans="1:8" x14ac:dyDescent="0.3">
      <c r="A109" t="s">
        <v>447</v>
      </c>
      <c r="B109" t="s">
        <v>334</v>
      </c>
      <c r="C109" t="s">
        <v>87</v>
      </c>
      <c r="D109" t="s">
        <v>448</v>
      </c>
      <c r="E109" t="s">
        <v>220</v>
      </c>
      <c r="F109" t="s">
        <v>113</v>
      </c>
      <c r="G109" t="s">
        <v>107</v>
      </c>
      <c r="H109" t="s">
        <v>17</v>
      </c>
    </row>
    <row r="110" spans="1:8" x14ac:dyDescent="0.3">
      <c r="A110" t="s">
        <v>449</v>
      </c>
      <c r="B110" t="s">
        <v>218</v>
      </c>
      <c r="C110" t="s">
        <v>70</v>
      </c>
      <c r="D110" t="s">
        <v>450</v>
      </c>
      <c r="E110" t="s">
        <v>220</v>
      </c>
      <c r="F110" t="s">
        <v>106</v>
      </c>
      <c r="G110" t="s">
        <v>155</v>
      </c>
      <c r="H110" t="s">
        <v>82</v>
      </c>
    </row>
    <row r="111" spans="1:8" x14ac:dyDescent="0.3">
      <c r="A111" t="s">
        <v>451</v>
      </c>
      <c r="B111" t="s">
        <v>452</v>
      </c>
      <c r="C111" t="s">
        <v>76</v>
      </c>
      <c r="D111" t="s">
        <v>453</v>
      </c>
      <c r="E111" t="s">
        <v>227</v>
      </c>
      <c r="F111" t="s">
        <v>113</v>
      </c>
      <c r="G111" t="s">
        <v>107</v>
      </c>
      <c r="H111" t="s">
        <v>32</v>
      </c>
    </row>
    <row r="112" spans="1:8" x14ac:dyDescent="0.3">
      <c r="A112" t="s">
        <v>454</v>
      </c>
      <c r="B112" t="s">
        <v>455</v>
      </c>
      <c r="C112" t="s">
        <v>54</v>
      </c>
      <c r="D112" t="s">
        <v>456</v>
      </c>
      <c r="E112" t="s">
        <v>140</v>
      </c>
      <c r="F112" t="s">
        <v>113</v>
      </c>
      <c r="G112" t="s">
        <v>107</v>
      </c>
      <c r="H112" t="s">
        <v>108</v>
      </c>
    </row>
    <row r="113" spans="1:8" x14ac:dyDescent="0.3">
      <c r="A113" t="s">
        <v>457</v>
      </c>
      <c r="B113" t="s">
        <v>458</v>
      </c>
      <c r="C113" t="s">
        <v>76</v>
      </c>
      <c r="D113" t="s">
        <v>459</v>
      </c>
      <c r="E113" t="s">
        <v>112</v>
      </c>
      <c r="F113" t="s">
        <v>113</v>
      </c>
      <c r="G113" t="s">
        <v>107</v>
      </c>
      <c r="H113" t="s">
        <v>84</v>
      </c>
    </row>
    <row r="114" spans="1:8" x14ac:dyDescent="0.3">
      <c r="A114" t="s">
        <v>460</v>
      </c>
      <c r="B114" t="s">
        <v>461</v>
      </c>
      <c r="C114" t="s">
        <v>12</v>
      </c>
      <c r="D114" t="s">
        <v>462</v>
      </c>
      <c r="E114" t="s">
        <v>220</v>
      </c>
      <c r="F114" t="s">
        <v>113</v>
      </c>
      <c r="G114" t="s">
        <v>107</v>
      </c>
      <c r="H114" t="s">
        <v>463</v>
      </c>
    </row>
    <row r="115" spans="1:8" x14ac:dyDescent="0.3">
      <c r="A115" t="s">
        <v>464</v>
      </c>
      <c r="B115" t="s">
        <v>442</v>
      </c>
      <c r="C115" t="s">
        <v>25</v>
      </c>
      <c r="D115" t="s">
        <v>465</v>
      </c>
      <c r="E115" t="s">
        <v>145</v>
      </c>
      <c r="F115" t="s">
        <v>113</v>
      </c>
      <c r="G115" t="s">
        <v>107</v>
      </c>
      <c r="H115" t="s">
        <v>238</v>
      </c>
    </row>
    <row r="116" spans="1:8" x14ac:dyDescent="0.3">
      <c r="A116" t="s">
        <v>466</v>
      </c>
      <c r="B116" t="s">
        <v>4</v>
      </c>
      <c r="C116" t="s">
        <v>82</v>
      </c>
      <c r="D116" t="s">
        <v>467</v>
      </c>
      <c r="E116" t="s">
        <v>227</v>
      </c>
      <c r="F116" t="s">
        <v>113</v>
      </c>
      <c r="G116" t="s">
        <v>107</v>
      </c>
      <c r="H116" t="s">
        <v>191</v>
      </c>
    </row>
    <row r="117" spans="1:8" x14ac:dyDescent="0.3">
      <c r="A117" t="s">
        <v>468</v>
      </c>
      <c r="B117" t="s">
        <v>218</v>
      </c>
      <c r="C117" t="s">
        <v>60</v>
      </c>
      <c r="D117" t="s">
        <v>469</v>
      </c>
      <c r="E117" t="s">
        <v>220</v>
      </c>
      <c r="F117" t="s">
        <v>113</v>
      </c>
      <c r="G117" t="s">
        <v>107</v>
      </c>
      <c r="H117" t="s">
        <v>114</v>
      </c>
    </row>
    <row r="118" spans="1:8" x14ac:dyDescent="0.3">
      <c r="A118" t="s">
        <v>470</v>
      </c>
      <c r="B118" t="s">
        <v>471</v>
      </c>
      <c r="C118" t="s">
        <v>15</v>
      </c>
      <c r="D118" t="s">
        <v>472</v>
      </c>
      <c r="E118" t="s">
        <v>220</v>
      </c>
      <c r="F118" t="s">
        <v>113</v>
      </c>
      <c r="G118" t="s">
        <v>107</v>
      </c>
      <c r="H118" t="s">
        <v>64</v>
      </c>
    </row>
    <row r="119" spans="1:8" x14ac:dyDescent="0.3">
      <c r="A119" t="s">
        <v>473</v>
      </c>
      <c r="B119" t="s">
        <v>435</v>
      </c>
      <c r="C119" t="s">
        <v>70</v>
      </c>
      <c r="D119" t="s">
        <v>474</v>
      </c>
      <c r="E119" t="s">
        <v>220</v>
      </c>
      <c r="F119" t="s">
        <v>113</v>
      </c>
      <c r="G119" t="s">
        <v>107</v>
      </c>
      <c r="H119" t="s">
        <v>385</v>
      </c>
    </row>
    <row r="120" spans="1:8" x14ac:dyDescent="0.3">
      <c r="A120" t="s">
        <v>475</v>
      </c>
      <c r="B120" t="s">
        <v>476</v>
      </c>
      <c r="C120" t="s">
        <v>91</v>
      </c>
      <c r="D120" t="s">
        <v>477</v>
      </c>
      <c r="E120" t="s">
        <v>220</v>
      </c>
      <c r="F120" t="s">
        <v>113</v>
      </c>
      <c r="G120" t="s">
        <v>107</v>
      </c>
      <c r="H120" t="s">
        <v>72</v>
      </c>
    </row>
    <row r="121" spans="1:8" x14ac:dyDescent="0.3">
      <c r="A121" t="s">
        <v>478</v>
      </c>
      <c r="B121" t="s">
        <v>479</v>
      </c>
      <c r="C121" t="s">
        <v>4</v>
      </c>
      <c r="D121" t="s">
        <v>480</v>
      </c>
      <c r="E121" t="s">
        <v>105</v>
      </c>
      <c r="F121" t="s">
        <v>106</v>
      </c>
      <c r="G121" t="s">
        <v>107</v>
      </c>
      <c r="H121" t="s">
        <v>176</v>
      </c>
    </row>
    <row r="122" spans="1:8" x14ac:dyDescent="0.3">
      <c r="A122" t="s">
        <v>481</v>
      </c>
      <c r="B122" t="s">
        <v>191</v>
      </c>
      <c r="C122" t="s">
        <v>72</v>
      </c>
      <c r="D122" t="s">
        <v>482</v>
      </c>
      <c r="E122" t="s">
        <v>220</v>
      </c>
      <c r="F122" t="s">
        <v>113</v>
      </c>
      <c r="G122" t="s">
        <v>107</v>
      </c>
      <c r="H122" t="s">
        <v>41</v>
      </c>
    </row>
    <row r="123" spans="1:8" x14ac:dyDescent="0.3">
      <c r="A123" t="s">
        <v>483</v>
      </c>
      <c r="B123" t="s">
        <v>484</v>
      </c>
      <c r="C123" t="s">
        <v>78</v>
      </c>
      <c r="D123" t="s">
        <v>485</v>
      </c>
      <c r="E123" t="s">
        <v>105</v>
      </c>
      <c r="F123" t="s">
        <v>113</v>
      </c>
      <c r="G123" t="s">
        <v>107</v>
      </c>
      <c r="H123" t="s">
        <v>162</v>
      </c>
    </row>
    <row r="124" spans="1:8" x14ac:dyDescent="0.3">
      <c r="A124" t="s">
        <v>486</v>
      </c>
      <c r="B124" t="s">
        <v>331</v>
      </c>
      <c r="C124" t="s">
        <v>74</v>
      </c>
      <c r="D124" t="s">
        <v>487</v>
      </c>
      <c r="E124" t="s">
        <v>118</v>
      </c>
      <c r="F124" t="s">
        <v>113</v>
      </c>
      <c r="G124" t="s">
        <v>155</v>
      </c>
      <c r="H124" t="s">
        <v>74</v>
      </c>
    </row>
    <row r="125" spans="1:8" x14ac:dyDescent="0.3">
      <c r="A125" t="s">
        <v>488</v>
      </c>
      <c r="B125" t="s">
        <v>489</v>
      </c>
      <c r="C125" t="s">
        <v>36</v>
      </c>
      <c r="D125" t="s">
        <v>490</v>
      </c>
      <c r="E125" t="s">
        <v>112</v>
      </c>
      <c r="F125" t="s">
        <v>113</v>
      </c>
      <c r="G125" t="s">
        <v>107</v>
      </c>
      <c r="H125" t="s">
        <v>228</v>
      </c>
    </row>
    <row r="126" spans="1:8" x14ac:dyDescent="0.3">
      <c r="A126" t="s">
        <v>491</v>
      </c>
      <c r="B126" t="s">
        <v>176</v>
      </c>
      <c r="C126" t="s">
        <v>17</v>
      </c>
      <c r="D126" t="s">
        <v>492</v>
      </c>
      <c r="E126" t="s">
        <v>220</v>
      </c>
      <c r="F126" t="s">
        <v>113</v>
      </c>
      <c r="G126" t="s">
        <v>107</v>
      </c>
      <c r="H126" t="s">
        <v>82</v>
      </c>
    </row>
    <row r="127" spans="1:8" x14ac:dyDescent="0.3">
      <c r="A127" t="s">
        <v>493</v>
      </c>
      <c r="B127" t="s">
        <v>494</v>
      </c>
      <c r="C127" t="s">
        <v>48</v>
      </c>
      <c r="D127" t="s">
        <v>495</v>
      </c>
      <c r="E127" t="s">
        <v>118</v>
      </c>
      <c r="F127" t="s">
        <v>113</v>
      </c>
      <c r="G127" t="s">
        <v>107</v>
      </c>
      <c r="H127" t="s">
        <v>496</v>
      </c>
    </row>
    <row r="128" spans="1:8" x14ac:dyDescent="0.3">
      <c r="A128" t="s">
        <v>497</v>
      </c>
      <c r="B128" t="s">
        <v>498</v>
      </c>
      <c r="C128" t="s">
        <v>89</v>
      </c>
      <c r="D128" t="s">
        <v>499</v>
      </c>
      <c r="E128" t="s">
        <v>127</v>
      </c>
      <c r="F128" t="s">
        <v>113</v>
      </c>
      <c r="G128" t="s">
        <v>107</v>
      </c>
      <c r="H128" t="s">
        <v>425</v>
      </c>
    </row>
    <row r="129" spans="1:8" x14ac:dyDescent="0.3">
      <c r="A129" t="s">
        <v>500</v>
      </c>
      <c r="B129" t="s">
        <v>164</v>
      </c>
      <c r="C129" t="s">
        <v>74</v>
      </c>
      <c r="D129" t="s">
        <v>501</v>
      </c>
      <c r="E129" t="s">
        <v>220</v>
      </c>
      <c r="F129" t="s">
        <v>154</v>
      </c>
      <c r="G129" t="s">
        <v>107</v>
      </c>
      <c r="H129" t="s">
        <v>141</v>
      </c>
    </row>
    <row r="130" spans="1:8" x14ac:dyDescent="0.3">
      <c r="A130" t="s">
        <v>502</v>
      </c>
      <c r="B130" t="s">
        <v>503</v>
      </c>
      <c r="C130" t="s">
        <v>62</v>
      </c>
      <c r="D130" t="s">
        <v>504</v>
      </c>
      <c r="E130" t="s">
        <v>140</v>
      </c>
      <c r="F130" t="s">
        <v>113</v>
      </c>
      <c r="G130" t="s">
        <v>107</v>
      </c>
      <c r="H130" t="s">
        <v>463</v>
      </c>
    </row>
    <row r="131" spans="1:8" x14ac:dyDescent="0.3">
      <c r="A131" t="s">
        <v>505</v>
      </c>
      <c r="B131" t="s">
        <v>506</v>
      </c>
      <c r="C131" t="s">
        <v>43</v>
      </c>
      <c r="D131" t="s">
        <v>507</v>
      </c>
      <c r="E131" t="s">
        <v>140</v>
      </c>
      <c r="F131" t="s">
        <v>154</v>
      </c>
      <c r="G131" t="s">
        <v>107</v>
      </c>
      <c r="H131" t="s">
        <v>508</v>
      </c>
    </row>
    <row r="132" spans="1:8" x14ac:dyDescent="0.3">
      <c r="A132" t="s">
        <v>509</v>
      </c>
      <c r="B132" t="s">
        <v>458</v>
      </c>
      <c r="C132" t="s">
        <v>12</v>
      </c>
      <c r="D132" t="s">
        <v>510</v>
      </c>
      <c r="E132" t="s">
        <v>227</v>
      </c>
      <c r="F132" t="s">
        <v>113</v>
      </c>
      <c r="G132" t="s">
        <v>198</v>
      </c>
      <c r="H132" t="s">
        <v>93</v>
      </c>
    </row>
    <row r="133" spans="1:8" x14ac:dyDescent="0.3">
      <c r="A133" t="s">
        <v>511</v>
      </c>
      <c r="B133" t="s">
        <v>129</v>
      </c>
      <c r="C133" t="s">
        <v>62</v>
      </c>
      <c r="D133" t="s">
        <v>512</v>
      </c>
      <c r="E133" t="s">
        <v>227</v>
      </c>
      <c r="F133" t="s">
        <v>122</v>
      </c>
      <c r="G133" t="s">
        <v>107</v>
      </c>
      <c r="H133" t="s">
        <v>425</v>
      </c>
    </row>
    <row r="134" spans="1:8" x14ac:dyDescent="0.3">
      <c r="A134" t="s">
        <v>513</v>
      </c>
      <c r="B134" t="s">
        <v>213</v>
      </c>
      <c r="C134" t="s">
        <v>12</v>
      </c>
      <c r="D134" t="s">
        <v>514</v>
      </c>
      <c r="E134" t="s">
        <v>227</v>
      </c>
      <c r="F134" t="s">
        <v>154</v>
      </c>
      <c r="G134" t="s">
        <v>107</v>
      </c>
      <c r="H134" t="s">
        <v>43</v>
      </c>
    </row>
    <row r="135" spans="1:8" x14ac:dyDescent="0.3">
      <c r="A135" t="s">
        <v>515</v>
      </c>
      <c r="B135" t="s">
        <v>415</v>
      </c>
      <c r="C135" t="s">
        <v>70</v>
      </c>
      <c r="D135" t="s">
        <v>516</v>
      </c>
      <c r="E135" t="s">
        <v>112</v>
      </c>
      <c r="F135" t="s">
        <v>122</v>
      </c>
      <c r="G135" t="s">
        <v>107</v>
      </c>
      <c r="H135" t="s">
        <v>34</v>
      </c>
    </row>
    <row r="136" spans="1:8" x14ac:dyDescent="0.3">
      <c r="A136" t="s">
        <v>517</v>
      </c>
      <c r="B136" t="s">
        <v>150</v>
      </c>
      <c r="C136" t="s">
        <v>66</v>
      </c>
      <c r="D136" t="s">
        <v>518</v>
      </c>
      <c r="E136" t="s">
        <v>140</v>
      </c>
      <c r="F136" t="s">
        <v>113</v>
      </c>
      <c r="G136" t="s">
        <v>107</v>
      </c>
      <c r="H136" t="s">
        <v>519</v>
      </c>
    </row>
    <row r="137" spans="1:8" x14ac:dyDescent="0.3">
      <c r="A137" t="s">
        <v>520</v>
      </c>
      <c r="B137" t="s">
        <v>423</v>
      </c>
      <c r="C137" t="s">
        <v>56</v>
      </c>
      <c r="D137" t="s">
        <v>521</v>
      </c>
      <c r="E137" t="s">
        <v>227</v>
      </c>
      <c r="F137" t="s">
        <v>113</v>
      </c>
      <c r="G137" t="s">
        <v>107</v>
      </c>
      <c r="H137" t="s">
        <v>114</v>
      </c>
    </row>
    <row r="138" spans="1:8" x14ac:dyDescent="0.3">
      <c r="A138" t="s">
        <v>522</v>
      </c>
      <c r="B138" t="s">
        <v>146</v>
      </c>
      <c r="C138" t="s">
        <v>56</v>
      </c>
      <c r="D138" t="s">
        <v>523</v>
      </c>
      <c r="E138" t="s">
        <v>112</v>
      </c>
      <c r="F138" t="s">
        <v>113</v>
      </c>
      <c r="G138" t="s">
        <v>107</v>
      </c>
      <c r="H138" t="s">
        <v>180</v>
      </c>
    </row>
    <row r="139" spans="1:8" x14ac:dyDescent="0.3">
      <c r="A139" t="s">
        <v>524</v>
      </c>
      <c r="B139" t="s">
        <v>525</v>
      </c>
      <c r="C139" t="s">
        <v>76</v>
      </c>
      <c r="D139" t="s">
        <v>526</v>
      </c>
      <c r="E139" t="s">
        <v>105</v>
      </c>
      <c r="F139" t="s">
        <v>106</v>
      </c>
      <c r="G139" t="s">
        <v>155</v>
      </c>
      <c r="H139" t="s">
        <v>527</v>
      </c>
    </row>
    <row r="140" spans="1:8" x14ac:dyDescent="0.3">
      <c r="A140" t="s">
        <v>528</v>
      </c>
      <c r="B140" t="s">
        <v>529</v>
      </c>
      <c r="C140" t="s">
        <v>50</v>
      </c>
      <c r="D140" t="s">
        <v>530</v>
      </c>
      <c r="E140" t="s">
        <v>227</v>
      </c>
      <c r="F140" t="s">
        <v>113</v>
      </c>
      <c r="G140" t="s">
        <v>107</v>
      </c>
      <c r="H140" t="s">
        <v>70</v>
      </c>
    </row>
    <row r="141" spans="1:8" x14ac:dyDescent="0.3">
      <c r="A141" t="s">
        <v>531</v>
      </c>
      <c r="B141" t="s">
        <v>137</v>
      </c>
      <c r="C141" t="s">
        <v>23</v>
      </c>
      <c r="D141" t="s">
        <v>532</v>
      </c>
      <c r="E141" t="s">
        <v>220</v>
      </c>
      <c r="F141" t="s">
        <v>154</v>
      </c>
      <c r="G141" t="s">
        <v>107</v>
      </c>
      <c r="H141" t="s">
        <v>533</v>
      </c>
    </row>
    <row r="142" spans="1:8" x14ac:dyDescent="0.3">
      <c r="A142" t="s">
        <v>534</v>
      </c>
      <c r="B142" t="s">
        <v>41</v>
      </c>
      <c r="C142" t="s">
        <v>12</v>
      </c>
      <c r="D142" t="s">
        <v>535</v>
      </c>
      <c r="E142" t="s">
        <v>140</v>
      </c>
      <c r="F142" t="s">
        <v>113</v>
      </c>
      <c r="G142" t="s">
        <v>107</v>
      </c>
      <c r="H142" t="s">
        <v>288</v>
      </c>
    </row>
    <row r="143" spans="1:8" x14ac:dyDescent="0.3">
      <c r="A143" t="s">
        <v>536</v>
      </c>
      <c r="B143" t="s">
        <v>537</v>
      </c>
      <c r="C143" t="s">
        <v>60</v>
      </c>
      <c r="D143" t="s">
        <v>538</v>
      </c>
      <c r="E143" t="s">
        <v>112</v>
      </c>
      <c r="F143" t="s">
        <v>113</v>
      </c>
      <c r="G143" t="s">
        <v>107</v>
      </c>
      <c r="H143" t="s">
        <v>187</v>
      </c>
    </row>
    <row r="144" spans="1:8" x14ac:dyDescent="0.3">
      <c r="A144" t="s">
        <v>539</v>
      </c>
      <c r="B144" t="s">
        <v>458</v>
      </c>
      <c r="C144" t="s">
        <v>87</v>
      </c>
      <c r="D144" t="s">
        <v>540</v>
      </c>
      <c r="E144" t="s">
        <v>118</v>
      </c>
      <c r="F144" t="s">
        <v>113</v>
      </c>
      <c r="G144" t="s">
        <v>107</v>
      </c>
      <c r="H144" t="s">
        <v>316</v>
      </c>
    </row>
    <row r="145" spans="1:8" x14ac:dyDescent="0.3">
      <c r="A145" t="s">
        <v>541</v>
      </c>
      <c r="B145" t="s">
        <v>162</v>
      </c>
      <c r="C145" t="s">
        <v>20</v>
      </c>
      <c r="D145" t="s">
        <v>542</v>
      </c>
      <c r="E145" t="s">
        <v>112</v>
      </c>
      <c r="F145" t="s">
        <v>154</v>
      </c>
      <c r="G145" t="s">
        <v>107</v>
      </c>
      <c r="H145" t="s">
        <v>208</v>
      </c>
    </row>
    <row r="146" spans="1:8" x14ac:dyDescent="0.3">
      <c r="A146" t="s">
        <v>543</v>
      </c>
      <c r="B146" t="s">
        <v>103</v>
      </c>
      <c r="C146" t="s">
        <v>43</v>
      </c>
      <c r="D146" t="s">
        <v>544</v>
      </c>
      <c r="E146" t="s">
        <v>112</v>
      </c>
      <c r="F146" t="s">
        <v>113</v>
      </c>
      <c r="G146" t="s">
        <v>107</v>
      </c>
      <c r="H146" t="s">
        <v>222</v>
      </c>
    </row>
    <row r="147" spans="1:8" x14ac:dyDescent="0.3">
      <c r="A147" t="s">
        <v>545</v>
      </c>
      <c r="B147" t="s">
        <v>546</v>
      </c>
      <c r="C147" t="s">
        <v>72</v>
      </c>
      <c r="D147" t="s">
        <v>547</v>
      </c>
      <c r="E147" t="s">
        <v>112</v>
      </c>
      <c r="F147" t="s">
        <v>154</v>
      </c>
      <c r="G147" t="s">
        <v>107</v>
      </c>
      <c r="H147" t="s">
        <v>413</v>
      </c>
    </row>
    <row r="148" spans="1:8" x14ac:dyDescent="0.3">
      <c r="A148" t="s">
        <v>548</v>
      </c>
      <c r="B148" t="s">
        <v>549</v>
      </c>
      <c r="C148" t="s">
        <v>4</v>
      </c>
      <c r="D148" t="s">
        <v>550</v>
      </c>
      <c r="E148" t="s">
        <v>112</v>
      </c>
      <c r="F148" t="s">
        <v>113</v>
      </c>
      <c r="G148" t="s">
        <v>107</v>
      </c>
      <c r="H148" t="s">
        <v>191</v>
      </c>
    </row>
    <row r="149" spans="1:8" x14ac:dyDescent="0.3">
      <c r="A149" t="s">
        <v>551</v>
      </c>
      <c r="B149" t="s">
        <v>552</v>
      </c>
      <c r="C149" t="s">
        <v>32</v>
      </c>
      <c r="D149" t="s">
        <v>553</v>
      </c>
      <c r="E149" t="s">
        <v>227</v>
      </c>
      <c r="F149" t="s">
        <v>113</v>
      </c>
      <c r="G149" t="s">
        <v>198</v>
      </c>
      <c r="H149" t="s">
        <v>28</v>
      </c>
    </row>
    <row r="150" spans="1:8" x14ac:dyDescent="0.3">
      <c r="A150" t="s">
        <v>554</v>
      </c>
      <c r="B150" t="s">
        <v>171</v>
      </c>
      <c r="C150" t="s">
        <v>68</v>
      </c>
      <c r="D150" t="s">
        <v>555</v>
      </c>
      <c r="E150" t="s">
        <v>105</v>
      </c>
      <c r="F150" t="s">
        <v>122</v>
      </c>
      <c r="G150" t="s">
        <v>107</v>
      </c>
      <c r="H150" t="s">
        <v>556</v>
      </c>
    </row>
    <row r="151" spans="1:8" x14ac:dyDescent="0.3">
      <c r="A151" t="s">
        <v>557</v>
      </c>
      <c r="B151" t="s">
        <v>558</v>
      </c>
      <c r="C151" t="s">
        <v>36</v>
      </c>
      <c r="D151" t="s">
        <v>559</v>
      </c>
      <c r="E151" t="s">
        <v>227</v>
      </c>
      <c r="F151" t="s">
        <v>113</v>
      </c>
      <c r="G151" t="s">
        <v>107</v>
      </c>
      <c r="H151" t="s">
        <v>112</v>
      </c>
    </row>
    <row r="152" spans="1:8" x14ac:dyDescent="0.3">
      <c r="A152" t="s">
        <v>560</v>
      </c>
      <c r="B152" t="s">
        <v>116</v>
      </c>
      <c r="C152" t="s">
        <v>62</v>
      </c>
      <c r="D152" t="s">
        <v>561</v>
      </c>
      <c r="E152" t="s">
        <v>145</v>
      </c>
      <c r="F152" t="s">
        <v>113</v>
      </c>
      <c r="G152" t="s">
        <v>107</v>
      </c>
      <c r="H152" t="s">
        <v>508</v>
      </c>
    </row>
    <row r="153" spans="1:8" x14ac:dyDescent="0.3">
      <c r="A153" t="s">
        <v>562</v>
      </c>
      <c r="B153" t="s">
        <v>563</v>
      </c>
      <c r="C153" t="s">
        <v>8</v>
      </c>
      <c r="D153" t="s">
        <v>564</v>
      </c>
      <c r="E153" t="s">
        <v>112</v>
      </c>
      <c r="F153" t="s">
        <v>113</v>
      </c>
      <c r="G153" t="s">
        <v>107</v>
      </c>
      <c r="H153" t="s">
        <v>425</v>
      </c>
    </row>
    <row r="154" spans="1:8" x14ac:dyDescent="0.3">
      <c r="A154" t="s">
        <v>565</v>
      </c>
      <c r="B154" t="s">
        <v>318</v>
      </c>
      <c r="C154" t="s">
        <v>15</v>
      </c>
      <c r="D154" t="s">
        <v>566</v>
      </c>
      <c r="E154" t="s">
        <v>227</v>
      </c>
      <c r="F154" t="s">
        <v>113</v>
      </c>
      <c r="G154" t="s">
        <v>107</v>
      </c>
      <c r="H154" t="s">
        <v>567</v>
      </c>
    </row>
    <row r="155" spans="1:8" x14ac:dyDescent="0.3">
      <c r="A155" t="s">
        <v>568</v>
      </c>
      <c r="B155" t="s">
        <v>185</v>
      </c>
      <c r="C155" t="s">
        <v>41</v>
      </c>
      <c r="D155" t="s">
        <v>569</v>
      </c>
      <c r="E155" t="s">
        <v>112</v>
      </c>
      <c r="F155" t="s">
        <v>106</v>
      </c>
      <c r="G155" t="s">
        <v>107</v>
      </c>
      <c r="H155" t="s">
        <v>567</v>
      </c>
    </row>
    <row r="156" spans="1:8" x14ac:dyDescent="0.3">
      <c r="A156" t="s">
        <v>570</v>
      </c>
      <c r="B156" t="s">
        <v>452</v>
      </c>
      <c r="C156" t="s">
        <v>36</v>
      </c>
      <c r="D156" t="s">
        <v>571</v>
      </c>
      <c r="E156" t="s">
        <v>145</v>
      </c>
      <c r="F156" t="s">
        <v>122</v>
      </c>
      <c r="G156" t="s">
        <v>107</v>
      </c>
      <c r="H156" t="s">
        <v>114</v>
      </c>
    </row>
    <row r="157" spans="1:8" x14ac:dyDescent="0.3">
      <c r="A157" t="s">
        <v>572</v>
      </c>
      <c r="B157" t="s">
        <v>196</v>
      </c>
      <c r="C157" t="s">
        <v>28</v>
      </c>
      <c r="D157" t="s">
        <v>573</v>
      </c>
      <c r="E157" t="s">
        <v>127</v>
      </c>
      <c r="F157" t="s">
        <v>154</v>
      </c>
      <c r="G157" t="s">
        <v>107</v>
      </c>
      <c r="H157" t="s">
        <v>409</v>
      </c>
    </row>
    <row r="158" spans="1:8" x14ac:dyDescent="0.3">
      <c r="A158" t="s">
        <v>574</v>
      </c>
      <c r="B158" t="s">
        <v>54</v>
      </c>
      <c r="C158" t="s">
        <v>52</v>
      </c>
      <c r="D158" t="s">
        <v>575</v>
      </c>
      <c r="E158" t="s">
        <v>105</v>
      </c>
      <c r="F158" t="s">
        <v>113</v>
      </c>
      <c r="G158" t="s">
        <v>107</v>
      </c>
      <c r="H158" t="s">
        <v>123</v>
      </c>
    </row>
    <row r="159" spans="1:8" x14ac:dyDescent="0.3">
      <c r="A159" t="s">
        <v>576</v>
      </c>
      <c r="B159" t="s">
        <v>577</v>
      </c>
      <c r="C159" t="s">
        <v>28</v>
      </c>
      <c r="D159" t="s">
        <v>578</v>
      </c>
      <c r="E159" t="s">
        <v>112</v>
      </c>
      <c r="F159" t="s">
        <v>154</v>
      </c>
      <c r="G159" t="s">
        <v>155</v>
      </c>
      <c r="H159" t="s">
        <v>32</v>
      </c>
    </row>
    <row r="160" spans="1:8" x14ac:dyDescent="0.3">
      <c r="A160" t="s">
        <v>579</v>
      </c>
      <c r="B160" t="s">
        <v>210</v>
      </c>
      <c r="C160" t="s">
        <v>34</v>
      </c>
      <c r="D160" t="s">
        <v>580</v>
      </c>
      <c r="E160" t="s">
        <v>274</v>
      </c>
      <c r="F160" t="s">
        <v>113</v>
      </c>
      <c r="G160" t="s">
        <v>107</v>
      </c>
      <c r="H160" t="s">
        <v>62</v>
      </c>
    </row>
    <row r="161" spans="1:8" x14ac:dyDescent="0.3">
      <c r="A161" t="s">
        <v>581</v>
      </c>
      <c r="B161" t="s">
        <v>582</v>
      </c>
      <c r="C161" t="s">
        <v>80</v>
      </c>
      <c r="D161" t="s">
        <v>583</v>
      </c>
      <c r="E161" t="s">
        <v>105</v>
      </c>
      <c r="F161" t="s">
        <v>113</v>
      </c>
      <c r="G161" t="s">
        <v>107</v>
      </c>
      <c r="H161" t="s">
        <v>323</v>
      </c>
    </row>
    <row r="162" spans="1:8" x14ac:dyDescent="0.3">
      <c r="A162" t="s">
        <v>584</v>
      </c>
      <c r="B162" t="s">
        <v>108</v>
      </c>
      <c r="C162" t="s">
        <v>46</v>
      </c>
      <c r="D162" t="s">
        <v>585</v>
      </c>
      <c r="E162" t="s">
        <v>220</v>
      </c>
      <c r="F162" t="s">
        <v>113</v>
      </c>
      <c r="G162" t="s">
        <v>107</v>
      </c>
      <c r="H162" t="s">
        <v>259</v>
      </c>
    </row>
    <row r="163" spans="1:8" x14ac:dyDescent="0.3">
      <c r="A163" t="s">
        <v>586</v>
      </c>
      <c r="B163" t="s">
        <v>587</v>
      </c>
      <c r="C163" t="s">
        <v>25</v>
      </c>
      <c r="D163" t="s">
        <v>588</v>
      </c>
      <c r="E163" t="s">
        <v>145</v>
      </c>
      <c r="F163" t="s">
        <v>122</v>
      </c>
      <c r="G163" t="s">
        <v>107</v>
      </c>
      <c r="H163" t="s">
        <v>191</v>
      </c>
    </row>
    <row r="164" spans="1:8" x14ac:dyDescent="0.3">
      <c r="A164" t="s">
        <v>589</v>
      </c>
      <c r="B164" t="s">
        <v>590</v>
      </c>
      <c r="C164" t="s">
        <v>64</v>
      </c>
      <c r="D164" t="s">
        <v>591</v>
      </c>
      <c r="E164" t="s">
        <v>127</v>
      </c>
      <c r="F164" t="s">
        <v>122</v>
      </c>
      <c r="G164" t="s">
        <v>107</v>
      </c>
      <c r="H164" t="s">
        <v>592</v>
      </c>
    </row>
    <row r="165" spans="1:8" x14ac:dyDescent="0.3">
      <c r="A165" t="s">
        <v>593</v>
      </c>
      <c r="B165" t="s">
        <v>594</v>
      </c>
      <c r="C165" t="s">
        <v>4</v>
      </c>
      <c r="D165" t="s">
        <v>595</v>
      </c>
      <c r="E165" t="s">
        <v>227</v>
      </c>
      <c r="F165" t="s">
        <v>106</v>
      </c>
      <c r="G165" t="s">
        <v>107</v>
      </c>
      <c r="H165" t="s">
        <v>78</v>
      </c>
    </row>
    <row r="166" spans="1:8" x14ac:dyDescent="0.3">
      <c r="A166" t="s">
        <v>596</v>
      </c>
      <c r="B166" t="s">
        <v>597</v>
      </c>
      <c r="C166" t="s">
        <v>46</v>
      </c>
      <c r="D166" t="s">
        <v>598</v>
      </c>
      <c r="E166" t="s">
        <v>127</v>
      </c>
      <c r="F166" t="s">
        <v>113</v>
      </c>
      <c r="G166" t="s">
        <v>107</v>
      </c>
      <c r="H166" t="s">
        <v>150</v>
      </c>
    </row>
    <row r="167" spans="1:8" x14ac:dyDescent="0.3">
      <c r="A167" t="s">
        <v>599</v>
      </c>
      <c r="B167" t="s">
        <v>533</v>
      </c>
      <c r="C167" t="s">
        <v>41</v>
      </c>
      <c r="D167" t="s">
        <v>600</v>
      </c>
      <c r="E167" t="s">
        <v>145</v>
      </c>
      <c r="F167" t="s">
        <v>113</v>
      </c>
      <c r="G167" t="s">
        <v>107</v>
      </c>
      <c r="H167" t="s">
        <v>131</v>
      </c>
    </row>
    <row r="168" spans="1:8" x14ac:dyDescent="0.3">
      <c r="A168" t="s">
        <v>601</v>
      </c>
      <c r="B168" t="s">
        <v>602</v>
      </c>
      <c r="C168" t="s">
        <v>54</v>
      </c>
      <c r="D168" t="s">
        <v>603</v>
      </c>
      <c r="E168" t="s">
        <v>274</v>
      </c>
      <c r="F168" t="s">
        <v>106</v>
      </c>
      <c r="G168" t="s">
        <v>155</v>
      </c>
      <c r="H168" t="s">
        <v>208</v>
      </c>
    </row>
    <row r="169" spans="1:8" x14ac:dyDescent="0.3">
      <c r="A169" t="s">
        <v>604</v>
      </c>
      <c r="B169" t="s">
        <v>452</v>
      </c>
      <c r="C169" t="s">
        <v>72</v>
      </c>
      <c r="D169" t="s">
        <v>295</v>
      </c>
      <c r="E169" t="s">
        <v>127</v>
      </c>
      <c r="F169" t="s">
        <v>154</v>
      </c>
      <c r="G169" t="s">
        <v>107</v>
      </c>
      <c r="H169" t="s">
        <v>385</v>
      </c>
    </row>
    <row r="170" spans="1:8" x14ac:dyDescent="0.3">
      <c r="A170" t="s">
        <v>605</v>
      </c>
      <c r="B170" t="s">
        <v>131</v>
      </c>
      <c r="C170" t="s">
        <v>28</v>
      </c>
      <c r="D170" t="s">
        <v>606</v>
      </c>
      <c r="E170" t="s">
        <v>112</v>
      </c>
      <c r="F170" t="s">
        <v>122</v>
      </c>
      <c r="G170" t="s">
        <v>107</v>
      </c>
      <c r="H170" t="s">
        <v>17</v>
      </c>
    </row>
    <row r="171" spans="1:8" x14ac:dyDescent="0.3">
      <c r="A171" t="s">
        <v>607</v>
      </c>
      <c r="B171" t="s">
        <v>131</v>
      </c>
      <c r="C171" t="s">
        <v>23</v>
      </c>
      <c r="D171" t="s">
        <v>608</v>
      </c>
      <c r="E171" t="s">
        <v>105</v>
      </c>
      <c r="F171" t="s">
        <v>106</v>
      </c>
      <c r="G171" t="s">
        <v>107</v>
      </c>
      <c r="H171" t="s">
        <v>72</v>
      </c>
    </row>
    <row r="172" spans="1:8" x14ac:dyDescent="0.3">
      <c r="A172" t="s">
        <v>609</v>
      </c>
      <c r="B172" t="s">
        <v>610</v>
      </c>
      <c r="C172" t="s">
        <v>72</v>
      </c>
      <c r="D172" t="s">
        <v>611</v>
      </c>
      <c r="E172" t="s">
        <v>227</v>
      </c>
      <c r="F172" t="s">
        <v>122</v>
      </c>
      <c r="G172" t="s">
        <v>107</v>
      </c>
      <c r="H172" t="s">
        <v>363</v>
      </c>
    </row>
    <row r="173" spans="1:8" x14ac:dyDescent="0.3">
      <c r="A173" t="s">
        <v>612</v>
      </c>
      <c r="B173" t="s">
        <v>245</v>
      </c>
      <c r="C173" t="s">
        <v>66</v>
      </c>
      <c r="D173" t="s">
        <v>613</v>
      </c>
      <c r="E173" t="s">
        <v>112</v>
      </c>
      <c r="F173" t="s">
        <v>113</v>
      </c>
      <c r="G173" t="s">
        <v>107</v>
      </c>
      <c r="H173" t="s">
        <v>313</v>
      </c>
    </row>
    <row r="174" spans="1:8" x14ac:dyDescent="0.3">
      <c r="A174" t="s">
        <v>614</v>
      </c>
      <c r="B174" t="s">
        <v>210</v>
      </c>
      <c r="C174" t="s">
        <v>23</v>
      </c>
      <c r="D174" t="s">
        <v>615</v>
      </c>
      <c r="E174" t="s">
        <v>140</v>
      </c>
      <c r="F174" t="s">
        <v>122</v>
      </c>
      <c r="G174" t="s">
        <v>107</v>
      </c>
      <c r="H174" t="s">
        <v>267</v>
      </c>
    </row>
    <row r="175" spans="1:8" x14ac:dyDescent="0.3">
      <c r="A175" t="s">
        <v>616</v>
      </c>
      <c r="B175" t="s">
        <v>46</v>
      </c>
      <c r="C175" t="s">
        <v>60</v>
      </c>
      <c r="D175" t="s">
        <v>617</v>
      </c>
      <c r="E175" t="s">
        <v>145</v>
      </c>
      <c r="F175" t="s">
        <v>113</v>
      </c>
      <c r="G175" t="s">
        <v>107</v>
      </c>
      <c r="H175" t="s">
        <v>66</v>
      </c>
    </row>
    <row r="176" spans="1:8" x14ac:dyDescent="0.3">
      <c r="A176" t="s">
        <v>618</v>
      </c>
      <c r="B176" t="s">
        <v>619</v>
      </c>
      <c r="C176" t="s">
        <v>23</v>
      </c>
      <c r="D176" t="s">
        <v>620</v>
      </c>
      <c r="E176" t="s">
        <v>118</v>
      </c>
      <c r="F176" t="s">
        <v>154</v>
      </c>
      <c r="G176" t="s">
        <v>155</v>
      </c>
      <c r="H176" t="s">
        <v>316</v>
      </c>
    </row>
    <row r="177" spans="1:8" x14ac:dyDescent="0.3">
      <c r="A177" t="s">
        <v>621</v>
      </c>
      <c r="B177" t="s">
        <v>622</v>
      </c>
      <c r="C177" t="s">
        <v>58</v>
      </c>
      <c r="D177" t="s">
        <v>623</v>
      </c>
      <c r="E177" t="s">
        <v>227</v>
      </c>
      <c r="F177" t="s">
        <v>113</v>
      </c>
      <c r="G177" t="s">
        <v>107</v>
      </c>
      <c r="H177" t="s">
        <v>23</v>
      </c>
    </row>
    <row r="178" spans="1:8" x14ac:dyDescent="0.3">
      <c r="A178" t="s">
        <v>624</v>
      </c>
      <c r="B178" t="s">
        <v>222</v>
      </c>
      <c r="C178" t="s">
        <v>72</v>
      </c>
      <c r="D178" t="s">
        <v>625</v>
      </c>
      <c r="E178" t="s">
        <v>118</v>
      </c>
      <c r="F178" t="s">
        <v>154</v>
      </c>
      <c r="G178" t="s">
        <v>107</v>
      </c>
      <c r="H178" t="s">
        <v>32</v>
      </c>
    </row>
    <row r="179" spans="1:8" x14ac:dyDescent="0.3">
      <c r="A179" t="s">
        <v>626</v>
      </c>
      <c r="B179" t="s">
        <v>627</v>
      </c>
      <c r="C179" t="s">
        <v>91</v>
      </c>
      <c r="D179" t="s">
        <v>628</v>
      </c>
      <c r="E179" t="s">
        <v>274</v>
      </c>
      <c r="F179" t="s">
        <v>106</v>
      </c>
      <c r="G179" t="s">
        <v>198</v>
      </c>
      <c r="H179" t="s">
        <v>8</v>
      </c>
    </row>
    <row r="180" spans="1:8" x14ac:dyDescent="0.3">
      <c r="A180" t="s">
        <v>629</v>
      </c>
      <c r="B180" t="s">
        <v>630</v>
      </c>
      <c r="C180" t="s">
        <v>87</v>
      </c>
      <c r="D180" t="s">
        <v>631</v>
      </c>
      <c r="E180" t="s">
        <v>105</v>
      </c>
      <c r="F180" t="s">
        <v>154</v>
      </c>
      <c r="G180" t="s">
        <v>107</v>
      </c>
      <c r="H180" t="s">
        <v>64</v>
      </c>
    </row>
    <row r="181" spans="1:8" x14ac:dyDescent="0.3">
      <c r="A181" t="s">
        <v>632</v>
      </c>
      <c r="B181" t="s">
        <v>498</v>
      </c>
      <c r="C181" t="s">
        <v>39</v>
      </c>
      <c r="D181" t="s">
        <v>633</v>
      </c>
      <c r="E181" t="s">
        <v>227</v>
      </c>
      <c r="F181" t="s">
        <v>113</v>
      </c>
      <c r="G181" t="s">
        <v>107</v>
      </c>
      <c r="H181" t="s">
        <v>70</v>
      </c>
    </row>
    <row r="182" spans="1:8" x14ac:dyDescent="0.3">
      <c r="A182" t="s">
        <v>634</v>
      </c>
      <c r="B182" t="s">
        <v>152</v>
      </c>
      <c r="C182" t="s">
        <v>4</v>
      </c>
      <c r="D182" t="s">
        <v>635</v>
      </c>
      <c r="E182" t="s">
        <v>145</v>
      </c>
      <c r="F182" t="s">
        <v>113</v>
      </c>
      <c r="G182" t="s">
        <v>155</v>
      </c>
      <c r="H182" t="s">
        <v>82</v>
      </c>
    </row>
    <row r="183" spans="1:8" x14ac:dyDescent="0.3">
      <c r="A183" t="s">
        <v>636</v>
      </c>
      <c r="B183" t="s">
        <v>245</v>
      </c>
      <c r="C183" t="s">
        <v>46</v>
      </c>
      <c r="D183" t="s">
        <v>637</v>
      </c>
      <c r="E183" t="s">
        <v>145</v>
      </c>
      <c r="F183" t="s">
        <v>113</v>
      </c>
      <c r="G183" t="s">
        <v>107</v>
      </c>
      <c r="H183" t="s">
        <v>56</v>
      </c>
    </row>
    <row r="184" spans="1:8" x14ac:dyDescent="0.3">
      <c r="A184" t="s">
        <v>638</v>
      </c>
      <c r="B184" t="s">
        <v>39</v>
      </c>
      <c r="C184" t="s">
        <v>28</v>
      </c>
      <c r="D184" t="s">
        <v>639</v>
      </c>
      <c r="E184" t="s">
        <v>220</v>
      </c>
      <c r="F184" t="s">
        <v>113</v>
      </c>
      <c r="G184" t="s">
        <v>107</v>
      </c>
      <c r="H184" t="s">
        <v>4</v>
      </c>
    </row>
    <row r="185" spans="1:8" x14ac:dyDescent="0.3">
      <c r="A185" t="s">
        <v>640</v>
      </c>
      <c r="B185" t="s">
        <v>442</v>
      </c>
      <c r="C185" t="s">
        <v>8</v>
      </c>
      <c r="D185" t="s">
        <v>641</v>
      </c>
      <c r="E185" t="s">
        <v>145</v>
      </c>
      <c r="F185" t="s">
        <v>154</v>
      </c>
      <c r="G185" t="s">
        <v>107</v>
      </c>
      <c r="H185" t="s">
        <v>56</v>
      </c>
    </row>
    <row r="186" spans="1:8" x14ac:dyDescent="0.3">
      <c r="A186" t="s">
        <v>642</v>
      </c>
      <c r="B186" t="s">
        <v>254</v>
      </c>
      <c r="C186" t="s">
        <v>80</v>
      </c>
      <c r="D186" t="s">
        <v>643</v>
      </c>
      <c r="E186" t="s">
        <v>145</v>
      </c>
      <c r="F186" t="s">
        <v>154</v>
      </c>
      <c r="G186" t="s">
        <v>107</v>
      </c>
      <c r="H186" t="s">
        <v>39</v>
      </c>
    </row>
    <row r="187" spans="1:8" x14ac:dyDescent="0.3">
      <c r="A187" t="s">
        <v>644</v>
      </c>
      <c r="B187" t="s">
        <v>645</v>
      </c>
      <c r="C187" t="s">
        <v>60</v>
      </c>
      <c r="D187" t="s">
        <v>646</v>
      </c>
      <c r="E187" t="s">
        <v>112</v>
      </c>
      <c r="F187" t="s">
        <v>113</v>
      </c>
      <c r="G187" t="s">
        <v>107</v>
      </c>
      <c r="H187" t="s">
        <v>630</v>
      </c>
    </row>
    <row r="188" spans="1:8" x14ac:dyDescent="0.3">
      <c r="A188" t="s">
        <v>647</v>
      </c>
      <c r="B188" t="s">
        <v>648</v>
      </c>
      <c r="C188" t="s">
        <v>41</v>
      </c>
      <c r="D188" t="s">
        <v>649</v>
      </c>
      <c r="E188" t="s">
        <v>220</v>
      </c>
      <c r="F188" t="s">
        <v>106</v>
      </c>
      <c r="G188" t="s">
        <v>107</v>
      </c>
      <c r="H188" t="s">
        <v>208</v>
      </c>
    </row>
    <row r="189" spans="1:8" x14ac:dyDescent="0.3">
      <c r="A189" t="s">
        <v>650</v>
      </c>
      <c r="B189" t="s">
        <v>196</v>
      </c>
      <c r="C189" t="s">
        <v>80</v>
      </c>
      <c r="D189" t="s">
        <v>651</v>
      </c>
      <c r="E189" t="s">
        <v>112</v>
      </c>
      <c r="F189" t="s">
        <v>113</v>
      </c>
      <c r="G189" t="s">
        <v>107</v>
      </c>
      <c r="H189" t="s">
        <v>89</v>
      </c>
    </row>
    <row r="190" spans="1:8" x14ac:dyDescent="0.3">
      <c r="A190" t="s">
        <v>652</v>
      </c>
      <c r="B190" t="s">
        <v>76</v>
      </c>
      <c r="C190" t="s">
        <v>74</v>
      </c>
      <c r="D190" t="s">
        <v>653</v>
      </c>
      <c r="E190" t="s">
        <v>145</v>
      </c>
      <c r="F190" t="s">
        <v>113</v>
      </c>
      <c r="G190" t="s">
        <v>107</v>
      </c>
      <c r="H190" t="s">
        <v>137</v>
      </c>
    </row>
    <row r="191" spans="1:8" x14ac:dyDescent="0.3">
      <c r="A191" t="s">
        <v>654</v>
      </c>
      <c r="B191" t="s">
        <v>387</v>
      </c>
      <c r="C191" t="s">
        <v>70</v>
      </c>
      <c r="D191" t="s">
        <v>655</v>
      </c>
      <c r="E191" t="s">
        <v>118</v>
      </c>
      <c r="F191" t="s">
        <v>113</v>
      </c>
      <c r="G191" t="s">
        <v>107</v>
      </c>
      <c r="H191" t="s">
        <v>28</v>
      </c>
    </row>
    <row r="192" spans="1:8" x14ac:dyDescent="0.3">
      <c r="A192" t="s">
        <v>656</v>
      </c>
      <c r="B192" t="s">
        <v>657</v>
      </c>
      <c r="C192" t="s">
        <v>30</v>
      </c>
      <c r="D192" t="s">
        <v>658</v>
      </c>
      <c r="E192" t="s">
        <v>140</v>
      </c>
      <c r="F192" t="s">
        <v>113</v>
      </c>
      <c r="G192" t="s">
        <v>107</v>
      </c>
      <c r="H192" t="s">
        <v>25</v>
      </c>
    </row>
    <row r="193" spans="1:8" x14ac:dyDescent="0.3">
      <c r="A193" t="s">
        <v>659</v>
      </c>
      <c r="B193" t="s">
        <v>660</v>
      </c>
      <c r="C193" t="s">
        <v>89</v>
      </c>
      <c r="D193" t="s">
        <v>661</v>
      </c>
      <c r="E193" t="s">
        <v>118</v>
      </c>
      <c r="F193" t="s">
        <v>122</v>
      </c>
      <c r="G193" t="s">
        <v>107</v>
      </c>
      <c r="H193" t="s">
        <v>176</v>
      </c>
    </row>
    <row r="194" spans="1:8" x14ac:dyDescent="0.3">
      <c r="A194" t="s">
        <v>662</v>
      </c>
      <c r="B194" t="s">
        <v>152</v>
      </c>
      <c r="C194" t="s">
        <v>80</v>
      </c>
      <c r="D194" t="s">
        <v>663</v>
      </c>
      <c r="E194" t="s">
        <v>105</v>
      </c>
      <c r="F194" t="s">
        <v>113</v>
      </c>
      <c r="G194" t="s">
        <v>107</v>
      </c>
      <c r="H194" t="s">
        <v>87</v>
      </c>
    </row>
    <row r="195" spans="1:8" x14ac:dyDescent="0.3">
      <c r="A195" t="s">
        <v>664</v>
      </c>
      <c r="B195" t="s">
        <v>665</v>
      </c>
      <c r="C195" t="s">
        <v>23</v>
      </c>
      <c r="D195" t="s">
        <v>666</v>
      </c>
      <c r="E195" t="s">
        <v>227</v>
      </c>
      <c r="F195" t="s">
        <v>122</v>
      </c>
      <c r="G195" t="s">
        <v>107</v>
      </c>
      <c r="H195" t="s">
        <v>385</v>
      </c>
    </row>
    <row r="196" spans="1:8" x14ac:dyDescent="0.3">
      <c r="A196" t="s">
        <v>667</v>
      </c>
      <c r="B196" t="s">
        <v>479</v>
      </c>
      <c r="C196" t="s">
        <v>39</v>
      </c>
      <c r="D196" t="s">
        <v>575</v>
      </c>
      <c r="E196" t="s">
        <v>127</v>
      </c>
      <c r="F196" t="s">
        <v>106</v>
      </c>
      <c r="G196" t="s">
        <v>107</v>
      </c>
      <c r="H196" t="s">
        <v>187</v>
      </c>
    </row>
    <row r="197" spans="1:8" x14ac:dyDescent="0.3">
      <c r="A197" t="s">
        <v>668</v>
      </c>
      <c r="B197" t="s">
        <v>587</v>
      </c>
      <c r="C197" t="s">
        <v>72</v>
      </c>
      <c r="D197" t="s">
        <v>669</v>
      </c>
      <c r="E197" t="s">
        <v>112</v>
      </c>
      <c r="F197" t="s">
        <v>113</v>
      </c>
      <c r="G197" t="s">
        <v>107</v>
      </c>
      <c r="H197" t="s">
        <v>137</v>
      </c>
    </row>
    <row r="198" spans="1:8" x14ac:dyDescent="0.3">
      <c r="A198" t="s">
        <v>670</v>
      </c>
      <c r="B198" t="s">
        <v>671</v>
      </c>
      <c r="C198" t="s">
        <v>68</v>
      </c>
      <c r="D198" t="s">
        <v>672</v>
      </c>
      <c r="E198" t="s">
        <v>112</v>
      </c>
      <c r="F198" t="s">
        <v>113</v>
      </c>
      <c r="G198" t="s">
        <v>107</v>
      </c>
      <c r="H198" t="s">
        <v>93</v>
      </c>
    </row>
    <row r="199" spans="1:8" x14ac:dyDescent="0.3">
      <c r="A199" t="s">
        <v>673</v>
      </c>
      <c r="B199" t="s">
        <v>114</v>
      </c>
      <c r="C199" t="s">
        <v>74</v>
      </c>
      <c r="D199" t="s">
        <v>674</v>
      </c>
      <c r="E199" t="s">
        <v>127</v>
      </c>
      <c r="F199" t="s">
        <v>113</v>
      </c>
      <c r="G199" t="s">
        <v>107</v>
      </c>
      <c r="H199" t="s">
        <v>25</v>
      </c>
    </row>
    <row r="200" spans="1:8" x14ac:dyDescent="0.3">
      <c r="A200" t="s">
        <v>675</v>
      </c>
      <c r="B200" t="s">
        <v>676</v>
      </c>
      <c r="C200" t="s">
        <v>23</v>
      </c>
      <c r="D200" t="s">
        <v>677</v>
      </c>
      <c r="E200" t="s">
        <v>227</v>
      </c>
      <c r="F200" t="s">
        <v>106</v>
      </c>
      <c r="G200" t="s">
        <v>107</v>
      </c>
      <c r="H200" t="s">
        <v>367</v>
      </c>
    </row>
    <row r="201" spans="1:8" x14ac:dyDescent="0.3">
      <c r="A201" t="s">
        <v>678</v>
      </c>
      <c r="B201" t="s">
        <v>679</v>
      </c>
      <c r="C201" t="s">
        <v>84</v>
      </c>
      <c r="D201" t="s">
        <v>680</v>
      </c>
      <c r="E201" t="s">
        <v>127</v>
      </c>
      <c r="F201" t="s">
        <v>113</v>
      </c>
      <c r="G201" t="s">
        <v>107</v>
      </c>
      <c r="H201" t="s">
        <v>23</v>
      </c>
    </row>
    <row r="202" spans="1:8" x14ac:dyDescent="0.3">
      <c r="A202" t="s">
        <v>681</v>
      </c>
      <c r="B202" t="s">
        <v>682</v>
      </c>
      <c r="C202" t="s">
        <v>25</v>
      </c>
      <c r="D202" t="s">
        <v>683</v>
      </c>
      <c r="E202" t="s">
        <v>127</v>
      </c>
      <c r="F202" t="s">
        <v>113</v>
      </c>
      <c r="G202" t="s">
        <v>107</v>
      </c>
      <c r="H202" t="s">
        <v>415</v>
      </c>
    </row>
    <row r="203" spans="1:8" x14ac:dyDescent="0.3">
      <c r="A203" t="s">
        <v>684</v>
      </c>
      <c r="B203" t="s">
        <v>685</v>
      </c>
      <c r="C203" t="s">
        <v>15</v>
      </c>
      <c r="D203" t="s">
        <v>686</v>
      </c>
      <c r="E203" t="s">
        <v>112</v>
      </c>
      <c r="F203" t="s">
        <v>113</v>
      </c>
      <c r="G203" t="s">
        <v>107</v>
      </c>
      <c r="H203" t="s">
        <v>84</v>
      </c>
    </row>
    <row r="204" spans="1:8" x14ac:dyDescent="0.3">
      <c r="A204" t="s">
        <v>687</v>
      </c>
      <c r="B204" t="s">
        <v>688</v>
      </c>
      <c r="C204" t="s">
        <v>87</v>
      </c>
      <c r="D204" t="s">
        <v>689</v>
      </c>
      <c r="E204" t="s">
        <v>227</v>
      </c>
      <c r="F204" t="s">
        <v>113</v>
      </c>
      <c r="G204" t="s">
        <v>107</v>
      </c>
      <c r="H204" t="s">
        <v>323</v>
      </c>
    </row>
    <row r="205" spans="1:8" x14ac:dyDescent="0.3">
      <c r="A205" t="s">
        <v>690</v>
      </c>
      <c r="B205" t="s">
        <v>691</v>
      </c>
      <c r="C205" t="s">
        <v>41</v>
      </c>
      <c r="D205" t="s">
        <v>692</v>
      </c>
      <c r="E205" t="s">
        <v>112</v>
      </c>
      <c r="F205" t="s">
        <v>154</v>
      </c>
      <c r="G205" t="s">
        <v>107</v>
      </c>
      <c r="H205" t="s">
        <v>36</v>
      </c>
    </row>
    <row r="206" spans="1:8" x14ac:dyDescent="0.3">
      <c r="A206" t="s">
        <v>693</v>
      </c>
      <c r="B206" t="s">
        <v>191</v>
      </c>
      <c r="C206" t="s">
        <v>48</v>
      </c>
      <c r="D206" t="s">
        <v>694</v>
      </c>
      <c r="E206" t="s">
        <v>112</v>
      </c>
      <c r="F206" t="s">
        <v>154</v>
      </c>
      <c r="G206" t="s">
        <v>107</v>
      </c>
      <c r="H206" t="s">
        <v>508</v>
      </c>
    </row>
    <row r="207" spans="1:8" x14ac:dyDescent="0.3">
      <c r="A207" t="s">
        <v>695</v>
      </c>
      <c r="B207" t="s">
        <v>602</v>
      </c>
      <c r="C207" t="s">
        <v>93</v>
      </c>
      <c r="D207" t="s">
        <v>696</v>
      </c>
      <c r="E207" t="s">
        <v>112</v>
      </c>
      <c r="F207" t="s">
        <v>113</v>
      </c>
      <c r="G207" t="s">
        <v>155</v>
      </c>
      <c r="H207" t="s">
        <v>208</v>
      </c>
    </row>
    <row r="208" spans="1:8" x14ac:dyDescent="0.3">
      <c r="A208" t="s">
        <v>697</v>
      </c>
      <c r="B208" t="s">
        <v>39</v>
      </c>
      <c r="C208" t="s">
        <v>91</v>
      </c>
      <c r="D208" t="s">
        <v>698</v>
      </c>
      <c r="E208" t="s">
        <v>140</v>
      </c>
      <c r="F208" t="s">
        <v>113</v>
      </c>
      <c r="G208" t="s">
        <v>107</v>
      </c>
      <c r="H208" t="s">
        <v>425</v>
      </c>
    </row>
    <row r="209" spans="1:8" x14ac:dyDescent="0.3">
      <c r="A209" t="s">
        <v>699</v>
      </c>
      <c r="B209" t="s">
        <v>41</v>
      </c>
      <c r="C209" t="s">
        <v>34</v>
      </c>
      <c r="D209" t="s">
        <v>700</v>
      </c>
      <c r="E209" t="s">
        <v>227</v>
      </c>
      <c r="F209" t="s">
        <v>113</v>
      </c>
      <c r="G209" t="s">
        <v>107</v>
      </c>
      <c r="H209" t="s">
        <v>80</v>
      </c>
    </row>
    <row r="210" spans="1:8" x14ac:dyDescent="0.3">
      <c r="A210" t="s">
        <v>701</v>
      </c>
      <c r="B210" t="s">
        <v>587</v>
      </c>
      <c r="C210" t="s">
        <v>58</v>
      </c>
      <c r="D210" t="s">
        <v>702</v>
      </c>
      <c r="E210" t="s">
        <v>227</v>
      </c>
      <c r="F210" t="s">
        <v>113</v>
      </c>
      <c r="G210" t="s">
        <v>107</v>
      </c>
      <c r="H210" t="s">
        <v>496</v>
      </c>
    </row>
    <row r="211" spans="1:8" x14ac:dyDescent="0.3">
      <c r="A211" t="s">
        <v>703</v>
      </c>
      <c r="B211" t="s">
        <v>704</v>
      </c>
      <c r="C211" t="s">
        <v>64</v>
      </c>
      <c r="D211" t="s">
        <v>705</v>
      </c>
      <c r="E211" t="s">
        <v>112</v>
      </c>
      <c r="F211" t="s">
        <v>113</v>
      </c>
      <c r="G211" t="s">
        <v>107</v>
      </c>
      <c r="H211" t="s">
        <v>25</v>
      </c>
    </row>
    <row r="212" spans="1:8" x14ac:dyDescent="0.3">
      <c r="A212" t="s">
        <v>706</v>
      </c>
      <c r="B212" t="s">
        <v>43</v>
      </c>
      <c r="C212" t="s">
        <v>20</v>
      </c>
      <c r="D212" t="s">
        <v>707</v>
      </c>
      <c r="E212" t="s">
        <v>118</v>
      </c>
      <c r="F212" t="s">
        <v>113</v>
      </c>
      <c r="G212" t="s">
        <v>107</v>
      </c>
      <c r="H212" t="s">
        <v>367</v>
      </c>
    </row>
    <row r="213" spans="1:8" x14ac:dyDescent="0.3">
      <c r="A213" t="s">
        <v>708</v>
      </c>
      <c r="B213" t="s">
        <v>709</v>
      </c>
      <c r="C213" t="s">
        <v>72</v>
      </c>
      <c r="D213" t="s">
        <v>710</v>
      </c>
      <c r="E213" t="s">
        <v>112</v>
      </c>
      <c r="F213" t="s">
        <v>113</v>
      </c>
      <c r="G213" t="s">
        <v>107</v>
      </c>
      <c r="H213" t="s">
        <v>341</v>
      </c>
    </row>
    <row r="214" spans="1:8" x14ac:dyDescent="0.3">
      <c r="A214" t="s">
        <v>711</v>
      </c>
      <c r="B214" t="s">
        <v>343</v>
      </c>
      <c r="C214" t="s">
        <v>87</v>
      </c>
      <c r="D214" t="s">
        <v>712</v>
      </c>
      <c r="E214" t="s">
        <v>127</v>
      </c>
      <c r="F214" t="s">
        <v>113</v>
      </c>
      <c r="G214" t="s">
        <v>107</v>
      </c>
      <c r="H214" t="s">
        <v>228</v>
      </c>
    </row>
    <row r="215" spans="1:8" x14ac:dyDescent="0.3">
      <c r="A215" t="s">
        <v>713</v>
      </c>
      <c r="B215" t="s">
        <v>413</v>
      </c>
      <c r="C215" t="s">
        <v>93</v>
      </c>
      <c r="D215" t="s">
        <v>714</v>
      </c>
      <c r="E215" t="s">
        <v>112</v>
      </c>
      <c r="F215" t="s">
        <v>113</v>
      </c>
      <c r="G215" t="s">
        <v>107</v>
      </c>
      <c r="H215" t="s">
        <v>20</v>
      </c>
    </row>
    <row r="216" spans="1:8" x14ac:dyDescent="0.3">
      <c r="A216" t="s">
        <v>715</v>
      </c>
      <c r="B216" t="s">
        <v>471</v>
      </c>
      <c r="C216" t="s">
        <v>68</v>
      </c>
      <c r="D216" t="s">
        <v>716</v>
      </c>
      <c r="E216" t="s">
        <v>127</v>
      </c>
      <c r="F216" t="s">
        <v>113</v>
      </c>
      <c r="G216" t="s">
        <v>107</v>
      </c>
      <c r="H216" t="s">
        <v>267</v>
      </c>
    </row>
    <row r="217" spans="1:8" x14ac:dyDescent="0.3">
      <c r="A217" t="s">
        <v>717</v>
      </c>
      <c r="B217" t="s">
        <v>718</v>
      </c>
      <c r="C217" t="s">
        <v>39</v>
      </c>
      <c r="D217" t="s">
        <v>719</v>
      </c>
      <c r="E217" t="s">
        <v>145</v>
      </c>
      <c r="F217" t="s">
        <v>106</v>
      </c>
      <c r="G217" t="s">
        <v>107</v>
      </c>
      <c r="H217" t="s">
        <v>296</v>
      </c>
    </row>
    <row r="218" spans="1:8" x14ac:dyDescent="0.3">
      <c r="A218" t="s">
        <v>720</v>
      </c>
      <c r="B218" t="s">
        <v>665</v>
      </c>
      <c r="C218" t="s">
        <v>25</v>
      </c>
      <c r="D218" t="s">
        <v>721</v>
      </c>
      <c r="E218" t="s">
        <v>145</v>
      </c>
      <c r="F218" t="s">
        <v>113</v>
      </c>
      <c r="G218" t="s">
        <v>107</v>
      </c>
      <c r="H218" t="s">
        <v>84</v>
      </c>
    </row>
    <row r="219" spans="1:8" x14ac:dyDescent="0.3">
      <c r="A219" t="s">
        <v>722</v>
      </c>
      <c r="B219" t="s">
        <v>723</v>
      </c>
      <c r="C219" t="s">
        <v>80</v>
      </c>
      <c r="D219" t="s">
        <v>724</v>
      </c>
      <c r="E219" t="s">
        <v>145</v>
      </c>
      <c r="F219" t="s">
        <v>106</v>
      </c>
      <c r="G219" t="s">
        <v>107</v>
      </c>
      <c r="H219" t="s">
        <v>108</v>
      </c>
    </row>
    <row r="220" spans="1:8" x14ac:dyDescent="0.3">
      <c r="A220" t="s">
        <v>725</v>
      </c>
      <c r="B220" t="s">
        <v>594</v>
      </c>
      <c r="C220" t="s">
        <v>91</v>
      </c>
      <c r="D220" t="s">
        <v>726</v>
      </c>
      <c r="E220" t="s">
        <v>112</v>
      </c>
      <c r="F220" t="s">
        <v>113</v>
      </c>
      <c r="G220" t="s">
        <v>107</v>
      </c>
      <c r="H220" t="s">
        <v>23</v>
      </c>
    </row>
    <row r="221" spans="1:8" x14ac:dyDescent="0.3">
      <c r="A221" t="s">
        <v>727</v>
      </c>
      <c r="B221" t="s">
        <v>286</v>
      </c>
      <c r="C221" t="s">
        <v>28</v>
      </c>
      <c r="D221" t="s">
        <v>728</v>
      </c>
      <c r="E221" t="s">
        <v>220</v>
      </c>
      <c r="F221" t="s">
        <v>106</v>
      </c>
      <c r="G221" t="s">
        <v>107</v>
      </c>
      <c r="H221" t="s">
        <v>506</v>
      </c>
    </row>
    <row r="222" spans="1:8" x14ac:dyDescent="0.3">
      <c r="A222" t="s">
        <v>729</v>
      </c>
      <c r="B222" t="s">
        <v>267</v>
      </c>
      <c r="C222" t="s">
        <v>4</v>
      </c>
      <c r="D222" t="s">
        <v>730</v>
      </c>
      <c r="E222" t="s">
        <v>274</v>
      </c>
      <c r="F222" t="s">
        <v>106</v>
      </c>
      <c r="G222" t="s">
        <v>107</v>
      </c>
      <c r="H222" t="s">
        <v>222</v>
      </c>
    </row>
    <row r="223" spans="1:8" x14ac:dyDescent="0.3">
      <c r="A223" t="s">
        <v>731</v>
      </c>
      <c r="B223" t="s">
        <v>679</v>
      </c>
      <c r="C223" t="s">
        <v>62</v>
      </c>
      <c r="D223" t="s">
        <v>732</v>
      </c>
      <c r="E223" t="s">
        <v>112</v>
      </c>
      <c r="F223" t="s">
        <v>113</v>
      </c>
      <c r="G223" t="s">
        <v>107</v>
      </c>
      <c r="H223" t="s">
        <v>263</v>
      </c>
    </row>
    <row r="224" spans="1:8" x14ac:dyDescent="0.3">
      <c r="A224" t="s">
        <v>733</v>
      </c>
      <c r="B224" t="s">
        <v>110</v>
      </c>
      <c r="C224" t="s">
        <v>58</v>
      </c>
      <c r="D224" t="s">
        <v>734</v>
      </c>
      <c r="E224" t="s">
        <v>112</v>
      </c>
      <c r="F224" t="s">
        <v>113</v>
      </c>
      <c r="G224" t="s">
        <v>107</v>
      </c>
      <c r="H224" t="s">
        <v>28</v>
      </c>
    </row>
    <row r="225" spans="1:8" x14ac:dyDescent="0.3">
      <c r="A225" t="s">
        <v>735</v>
      </c>
      <c r="B225" t="s">
        <v>736</v>
      </c>
      <c r="C225" t="s">
        <v>8</v>
      </c>
      <c r="D225" t="s">
        <v>737</v>
      </c>
      <c r="E225" t="s">
        <v>112</v>
      </c>
      <c r="F225" t="s">
        <v>154</v>
      </c>
      <c r="G225" t="s">
        <v>107</v>
      </c>
      <c r="H225" t="s">
        <v>463</v>
      </c>
    </row>
    <row r="226" spans="1:8" x14ac:dyDescent="0.3">
      <c r="A226" t="s">
        <v>738</v>
      </c>
      <c r="B226" t="s">
        <v>671</v>
      </c>
      <c r="C226" t="s">
        <v>87</v>
      </c>
      <c r="D226" t="s">
        <v>739</v>
      </c>
      <c r="E226" t="s">
        <v>145</v>
      </c>
      <c r="F226" t="s">
        <v>113</v>
      </c>
      <c r="G226" t="s">
        <v>107</v>
      </c>
      <c r="H226" t="s">
        <v>688</v>
      </c>
    </row>
    <row r="227" spans="1:8" x14ac:dyDescent="0.3">
      <c r="A227" t="s">
        <v>740</v>
      </c>
      <c r="B227" t="s">
        <v>627</v>
      </c>
      <c r="C227" t="s">
        <v>66</v>
      </c>
      <c r="D227" t="s">
        <v>741</v>
      </c>
      <c r="E227" t="s">
        <v>112</v>
      </c>
      <c r="F227" t="s">
        <v>113</v>
      </c>
      <c r="G227" t="s">
        <v>198</v>
      </c>
      <c r="H227" t="s">
        <v>87</v>
      </c>
    </row>
    <row r="228" spans="1:8" x14ac:dyDescent="0.3">
      <c r="A228" t="s">
        <v>742</v>
      </c>
      <c r="B228" t="s">
        <v>343</v>
      </c>
      <c r="C228" t="s">
        <v>32</v>
      </c>
      <c r="D228" t="s">
        <v>743</v>
      </c>
      <c r="E228" t="s">
        <v>118</v>
      </c>
      <c r="F228" t="s">
        <v>154</v>
      </c>
      <c r="G228" t="s">
        <v>155</v>
      </c>
      <c r="H228" t="s">
        <v>114</v>
      </c>
    </row>
    <row r="229" spans="1:8" x14ac:dyDescent="0.3">
      <c r="A229" t="s">
        <v>744</v>
      </c>
      <c r="B229" t="s">
        <v>619</v>
      </c>
      <c r="C229" t="s">
        <v>20</v>
      </c>
      <c r="D229" t="s">
        <v>745</v>
      </c>
      <c r="E229" t="s">
        <v>112</v>
      </c>
      <c r="F229" t="s">
        <v>106</v>
      </c>
      <c r="G229" t="s">
        <v>107</v>
      </c>
      <c r="H229" t="s">
        <v>187</v>
      </c>
    </row>
    <row r="230" spans="1:8" x14ac:dyDescent="0.3">
      <c r="A230" t="s">
        <v>746</v>
      </c>
      <c r="B230" t="s">
        <v>736</v>
      </c>
      <c r="C230" t="s">
        <v>89</v>
      </c>
      <c r="D230" t="s">
        <v>747</v>
      </c>
      <c r="E230" t="s">
        <v>145</v>
      </c>
      <c r="F230" t="s">
        <v>106</v>
      </c>
      <c r="G230" t="s">
        <v>155</v>
      </c>
      <c r="H230" t="s">
        <v>137</v>
      </c>
    </row>
    <row r="231" spans="1:8" x14ac:dyDescent="0.3">
      <c r="A231" t="s">
        <v>748</v>
      </c>
      <c r="B231" t="s">
        <v>203</v>
      </c>
      <c r="C231" t="s">
        <v>56</v>
      </c>
      <c r="D231" t="s">
        <v>749</v>
      </c>
      <c r="E231" t="s">
        <v>140</v>
      </c>
      <c r="F231" t="s">
        <v>113</v>
      </c>
      <c r="G231" t="s">
        <v>107</v>
      </c>
      <c r="H231" t="s">
        <v>68</v>
      </c>
    </row>
    <row r="232" spans="1:8" x14ac:dyDescent="0.3">
      <c r="A232" t="s">
        <v>750</v>
      </c>
      <c r="B232" t="s">
        <v>751</v>
      </c>
      <c r="C232" t="s">
        <v>25</v>
      </c>
      <c r="D232" t="s">
        <v>752</v>
      </c>
      <c r="E232" t="s">
        <v>227</v>
      </c>
      <c r="F232" t="s">
        <v>113</v>
      </c>
      <c r="G232" t="s">
        <v>107</v>
      </c>
      <c r="H232" t="s">
        <v>679</v>
      </c>
    </row>
    <row r="233" spans="1:8" x14ac:dyDescent="0.3">
      <c r="A233" t="s">
        <v>753</v>
      </c>
      <c r="B233" t="s">
        <v>754</v>
      </c>
      <c r="C233" t="s">
        <v>58</v>
      </c>
      <c r="D233" t="s">
        <v>755</v>
      </c>
      <c r="E233" t="s">
        <v>112</v>
      </c>
      <c r="F233" t="s">
        <v>106</v>
      </c>
      <c r="G233" t="s">
        <v>107</v>
      </c>
      <c r="H233" t="s">
        <v>756</v>
      </c>
    </row>
    <row r="234" spans="1:8" x14ac:dyDescent="0.3">
      <c r="A234" t="s">
        <v>757</v>
      </c>
      <c r="B234" t="s">
        <v>228</v>
      </c>
      <c r="C234" t="s">
        <v>43</v>
      </c>
      <c r="D234" t="s">
        <v>758</v>
      </c>
      <c r="E234" t="s">
        <v>145</v>
      </c>
      <c r="F234" t="s">
        <v>113</v>
      </c>
      <c r="G234" t="s">
        <v>107</v>
      </c>
      <c r="H234" t="s">
        <v>36</v>
      </c>
    </row>
    <row r="235" spans="1:8" x14ac:dyDescent="0.3">
      <c r="A235" t="s">
        <v>759</v>
      </c>
      <c r="B235" t="s">
        <v>385</v>
      </c>
      <c r="C235" t="s">
        <v>91</v>
      </c>
      <c r="D235" t="s">
        <v>760</v>
      </c>
      <c r="E235" t="s">
        <v>145</v>
      </c>
      <c r="F235" t="s">
        <v>113</v>
      </c>
      <c r="G235" t="s">
        <v>107</v>
      </c>
      <c r="H235" t="s">
        <v>50</v>
      </c>
    </row>
    <row r="236" spans="1:8" x14ac:dyDescent="0.3">
      <c r="A236" t="s">
        <v>761</v>
      </c>
      <c r="B236" t="s">
        <v>762</v>
      </c>
      <c r="C236" t="s">
        <v>76</v>
      </c>
      <c r="D236" t="s">
        <v>763</v>
      </c>
      <c r="E236" t="s">
        <v>112</v>
      </c>
      <c r="F236" t="s">
        <v>113</v>
      </c>
      <c r="G236" t="s">
        <v>107</v>
      </c>
      <c r="H236" t="s">
        <v>191</v>
      </c>
    </row>
    <row r="237" spans="1:8" x14ac:dyDescent="0.3">
      <c r="A237" t="s">
        <v>764</v>
      </c>
      <c r="B237" t="s">
        <v>765</v>
      </c>
      <c r="C237" t="s">
        <v>70</v>
      </c>
      <c r="D237" t="s">
        <v>766</v>
      </c>
      <c r="E237" t="s">
        <v>127</v>
      </c>
      <c r="F237" t="s">
        <v>154</v>
      </c>
      <c r="G237" t="s">
        <v>198</v>
      </c>
      <c r="H237" t="s">
        <v>316</v>
      </c>
    </row>
    <row r="238" spans="1:8" x14ac:dyDescent="0.3">
      <c r="A238" t="s">
        <v>767</v>
      </c>
      <c r="B238" t="s">
        <v>452</v>
      </c>
      <c r="C238" t="s">
        <v>93</v>
      </c>
      <c r="D238" t="s">
        <v>768</v>
      </c>
      <c r="E238" t="s">
        <v>220</v>
      </c>
      <c r="F238" t="s">
        <v>154</v>
      </c>
      <c r="G238" t="s">
        <v>107</v>
      </c>
      <c r="H238" t="s">
        <v>288</v>
      </c>
    </row>
    <row r="239" spans="1:8" x14ac:dyDescent="0.3">
      <c r="A239" t="s">
        <v>769</v>
      </c>
      <c r="B239" t="s">
        <v>208</v>
      </c>
      <c r="C239" t="s">
        <v>70</v>
      </c>
      <c r="D239" t="s">
        <v>770</v>
      </c>
      <c r="E239" t="s">
        <v>227</v>
      </c>
      <c r="F239" t="s">
        <v>113</v>
      </c>
      <c r="G239" t="s">
        <v>107</v>
      </c>
      <c r="H239" t="s">
        <v>25</v>
      </c>
    </row>
    <row r="240" spans="1:8" x14ac:dyDescent="0.3">
      <c r="A240" t="s">
        <v>771</v>
      </c>
      <c r="B240" t="s">
        <v>772</v>
      </c>
      <c r="C240" t="s">
        <v>48</v>
      </c>
      <c r="D240" t="s">
        <v>773</v>
      </c>
      <c r="E240" t="s">
        <v>105</v>
      </c>
      <c r="F240" t="s">
        <v>154</v>
      </c>
      <c r="G240" t="s">
        <v>107</v>
      </c>
      <c r="H240" t="s">
        <v>313</v>
      </c>
    </row>
    <row r="241" spans="1:8" x14ac:dyDescent="0.3">
      <c r="A241" t="s">
        <v>774</v>
      </c>
      <c r="B241" t="s">
        <v>89</v>
      </c>
      <c r="C241" t="s">
        <v>52</v>
      </c>
      <c r="D241" t="s">
        <v>775</v>
      </c>
      <c r="E241" t="s">
        <v>112</v>
      </c>
      <c r="F241" t="s">
        <v>106</v>
      </c>
      <c r="G241" t="s">
        <v>155</v>
      </c>
      <c r="H241" t="s">
        <v>191</v>
      </c>
    </row>
    <row r="242" spans="1:8" x14ac:dyDescent="0.3">
      <c r="A242" t="s">
        <v>776</v>
      </c>
      <c r="B242" t="s">
        <v>597</v>
      </c>
      <c r="C242" t="s">
        <v>50</v>
      </c>
      <c r="D242" t="s">
        <v>777</v>
      </c>
      <c r="E242" t="s">
        <v>127</v>
      </c>
      <c r="F242" t="s">
        <v>113</v>
      </c>
      <c r="G242" t="s">
        <v>155</v>
      </c>
      <c r="H242" t="s">
        <v>28</v>
      </c>
    </row>
    <row r="243" spans="1:8" x14ac:dyDescent="0.3">
      <c r="A243" t="s">
        <v>778</v>
      </c>
      <c r="B243" t="s">
        <v>779</v>
      </c>
      <c r="C243" t="s">
        <v>78</v>
      </c>
      <c r="D243" t="s">
        <v>780</v>
      </c>
      <c r="E243" t="s">
        <v>145</v>
      </c>
      <c r="F243" t="s">
        <v>154</v>
      </c>
      <c r="G243" t="s">
        <v>107</v>
      </c>
      <c r="H243" t="s">
        <v>112</v>
      </c>
    </row>
    <row r="244" spans="1:8" x14ac:dyDescent="0.3">
      <c r="A244" t="s">
        <v>781</v>
      </c>
      <c r="B244" t="s">
        <v>56</v>
      </c>
      <c r="C244" t="s">
        <v>70</v>
      </c>
      <c r="D244" t="s">
        <v>782</v>
      </c>
      <c r="E244" t="s">
        <v>140</v>
      </c>
      <c r="F244" t="s">
        <v>113</v>
      </c>
      <c r="G244" t="s">
        <v>107</v>
      </c>
      <c r="H244" t="s">
        <v>508</v>
      </c>
    </row>
    <row r="245" spans="1:8" x14ac:dyDescent="0.3">
      <c r="A245" t="s">
        <v>783</v>
      </c>
      <c r="B245" t="s">
        <v>784</v>
      </c>
      <c r="C245" t="s">
        <v>74</v>
      </c>
      <c r="D245" t="s">
        <v>785</v>
      </c>
      <c r="E245" t="s">
        <v>112</v>
      </c>
      <c r="F245" t="s">
        <v>154</v>
      </c>
      <c r="G245" t="s">
        <v>107</v>
      </c>
      <c r="H245" t="s">
        <v>323</v>
      </c>
    </row>
    <row r="246" spans="1:8" x14ac:dyDescent="0.3">
      <c r="A246" t="s">
        <v>786</v>
      </c>
      <c r="B246" t="s">
        <v>252</v>
      </c>
      <c r="C246" t="s">
        <v>56</v>
      </c>
      <c r="D246" t="s">
        <v>787</v>
      </c>
      <c r="E246" t="s">
        <v>145</v>
      </c>
      <c r="F246" t="s">
        <v>113</v>
      </c>
      <c r="G246" t="s">
        <v>107</v>
      </c>
      <c r="H246" t="s">
        <v>762</v>
      </c>
    </row>
    <row r="247" spans="1:8" x14ac:dyDescent="0.3">
      <c r="A247" t="s">
        <v>788</v>
      </c>
      <c r="B247" t="s">
        <v>385</v>
      </c>
      <c r="C247" t="s">
        <v>12</v>
      </c>
      <c r="D247" t="s">
        <v>789</v>
      </c>
      <c r="E247" t="s">
        <v>227</v>
      </c>
      <c r="F247" t="s">
        <v>154</v>
      </c>
      <c r="G247" t="s">
        <v>107</v>
      </c>
      <c r="H247" t="s">
        <v>74</v>
      </c>
    </row>
    <row r="248" spans="1:8" x14ac:dyDescent="0.3">
      <c r="A248" t="s">
        <v>790</v>
      </c>
      <c r="B248" t="s">
        <v>791</v>
      </c>
      <c r="C248" t="s">
        <v>80</v>
      </c>
      <c r="D248" t="s">
        <v>792</v>
      </c>
      <c r="E248" t="s">
        <v>227</v>
      </c>
      <c r="F248" t="s">
        <v>113</v>
      </c>
      <c r="G248" t="s">
        <v>107</v>
      </c>
      <c r="H248" t="s">
        <v>208</v>
      </c>
    </row>
    <row r="249" spans="1:8" x14ac:dyDescent="0.3">
      <c r="A249" t="s">
        <v>793</v>
      </c>
      <c r="B249" t="s">
        <v>420</v>
      </c>
      <c r="C249" t="s">
        <v>62</v>
      </c>
      <c r="D249" t="s">
        <v>794</v>
      </c>
      <c r="E249" t="s">
        <v>140</v>
      </c>
      <c r="F249" t="s">
        <v>113</v>
      </c>
      <c r="G249" t="s">
        <v>107</v>
      </c>
      <c r="H249" t="s">
        <v>415</v>
      </c>
    </row>
    <row r="250" spans="1:8" x14ac:dyDescent="0.3">
      <c r="A250" t="s">
        <v>795</v>
      </c>
      <c r="B250" t="s">
        <v>796</v>
      </c>
      <c r="C250" t="s">
        <v>15</v>
      </c>
      <c r="D250" t="s">
        <v>797</v>
      </c>
      <c r="E250" t="s">
        <v>118</v>
      </c>
      <c r="F250" t="s">
        <v>113</v>
      </c>
      <c r="G250" t="s">
        <v>107</v>
      </c>
      <c r="H250" t="s">
        <v>409</v>
      </c>
    </row>
    <row r="251" spans="1:8" x14ac:dyDescent="0.3">
      <c r="A251" t="s">
        <v>798</v>
      </c>
      <c r="B251" t="s">
        <v>682</v>
      </c>
      <c r="C251" t="s">
        <v>23</v>
      </c>
      <c r="D251" t="s">
        <v>799</v>
      </c>
      <c r="E251" t="s">
        <v>118</v>
      </c>
      <c r="F251" t="s">
        <v>106</v>
      </c>
      <c r="G251" t="s">
        <v>107</v>
      </c>
      <c r="H251" t="s">
        <v>592</v>
      </c>
    </row>
    <row r="252" spans="1:8" x14ac:dyDescent="0.3">
      <c r="A252" t="s">
        <v>800</v>
      </c>
      <c r="B252" t="s">
        <v>801</v>
      </c>
      <c r="C252" t="s">
        <v>91</v>
      </c>
      <c r="D252" t="s">
        <v>802</v>
      </c>
      <c r="E252" t="s">
        <v>105</v>
      </c>
      <c r="F252" t="s">
        <v>106</v>
      </c>
      <c r="G252" t="s">
        <v>107</v>
      </c>
      <c r="H252" t="s">
        <v>50</v>
      </c>
    </row>
    <row r="253" spans="1:8" x14ac:dyDescent="0.3">
      <c r="A253" t="s">
        <v>803</v>
      </c>
      <c r="B253" t="s">
        <v>361</v>
      </c>
      <c r="C253" t="s">
        <v>30</v>
      </c>
      <c r="D253" t="s">
        <v>804</v>
      </c>
      <c r="E253" t="s">
        <v>112</v>
      </c>
      <c r="F253" t="s">
        <v>154</v>
      </c>
      <c r="G253" t="s">
        <v>107</v>
      </c>
      <c r="H253" t="s">
        <v>141</v>
      </c>
    </row>
    <row r="254" spans="1:8" x14ac:dyDescent="0.3">
      <c r="A254" t="s">
        <v>805</v>
      </c>
      <c r="B254" t="s">
        <v>361</v>
      </c>
      <c r="C254" t="s">
        <v>64</v>
      </c>
      <c r="D254" t="s">
        <v>806</v>
      </c>
      <c r="E254" t="s">
        <v>145</v>
      </c>
      <c r="F254" t="s">
        <v>154</v>
      </c>
      <c r="G254" t="s">
        <v>107</v>
      </c>
      <c r="H254" t="s">
        <v>43</v>
      </c>
    </row>
    <row r="255" spans="1:8" x14ac:dyDescent="0.3">
      <c r="A255" t="s">
        <v>807</v>
      </c>
      <c r="B255" t="s">
        <v>203</v>
      </c>
      <c r="C255" t="s">
        <v>84</v>
      </c>
      <c r="D255" t="s">
        <v>808</v>
      </c>
      <c r="E255" t="s">
        <v>112</v>
      </c>
      <c r="F255" t="s">
        <v>113</v>
      </c>
      <c r="G255" t="s">
        <v>107</v>
      </c>
      <c r="H255" t="s">
        <v>809</v>
      </c>
    </row>
    <row r="256" spans="1:8" x14ac:dyDescent="0.3">
      <c r="A256" t="s">
        <v>810</v>
      </c>
      <c r="B256" t="s">
        <v>811</v>
      </c>
      <c r="C256" t="s">
        <v>80</v>
      </c>
      <c r="D256" t="s">
        <v>812</v>
      </c>
      <c r="E256" t="s">
        <v>140</v>
      </c>
      <c r="F256" t="s">
        <v>113</v>
      </c>
      <c r="G256" t="s">
        <v>107</v>
      </c>
      <c r="H256" t="s">
        <v>32</v>
      </c>
    </row>
    <row r="257" spans="1:8" x14ac:dyDescent="0.3">
      <c r="A257" t="s">
        <v>813</v>
      </c>
      <c r="B257" t="s">
        <v>814</v>
      </c>
      <c r="C257" t="s">
        <v>60</v>
      </c>
      <c r="D257" t="s">
        <v>815</v>
      </c>
      <c r="E257" t="s">
        <v>140</v>
      </c>
      <c r="F257" t="s">
        <v>154</v>
      </c>
      <c r="G257" t="s">
        <v>107</v>
      </c>
      <c r="H257" t="s">
        <v>8</v>
      </c>
    </row>
    <row r="258" spans="1:8" x14ac:dyDescent="0.3">
      <c r="A258" t="s">
        <v>816</v>
      </c>
      <c r="B258" t="s">
        <v>193</v>
      </c>
      <c r="C258" t="s">
        <v>56</v>
      </c>
      <c r="D258" t="s">
        <v>817</v>
      </c>
      <c r="E258" t="s">
        <v>140</v>
      </c>
      <c r="F258" t="s">
        <v>113</v>
      </c>
      <c r="G258" t="s">
        <v>107</v>
      </c>
      <c r="H258" t="s">
        <v>238</v>
      </c>
    </row>
    <row r="259" spans="1:8" x14ac:dyDescent="0.3">
      <c r="A259" t="s">
        <v>818</v>
      </c>
      <c r="B259" t="s">
        <v>592</v>
      </c>
      <c r="C259" t="s">
        <v>30</v>
      </c>
      <c r="D259" t="s">
        <v>819</v>
      </c>
      <c r="E259" t="s">
        <v>112</v>
      </c>
      <c r="F259" t="s">
        <v>113</v>
      </c>
      <c r="G259" t="s">
        <v>107</v>
      </c>
      <c r="H259" t="s">
        <v>28</v>
      </c>
    </row>
    <row r="260" spans="1:8" x14ac:dyDescent="0.3">
      <c r="A260" t="s">
        <v>820</v>
      </c>
      <c r="B260" t="s">
        <v>245</v>
      </c>
      <c r="C260" t="s">
        <v>80</v>
      </c>
      <c r="D260" t="s">
        <v>821</v>
      </c>
      <c r="E260" t="s">
        <v>112</v>
      </c>
      <c r="F260" t="s">
        <v>113</v>
      </c>
      <c r="G260" t="s">
        <v>107</v>
      </c>
      <c r="H260" t="s">
        <v>15</v>
      </c>
    </row>
    <row r="261" spans="1:8" x14ac:dyDescent="0.3">
      <c r="A261" t="s">
        <v>822</v>
      </c>
      <c r="B261" t="s">
        <v>823</v>
      </c>
      <c r="C261" t="s">
        <v>28</v>
      </c>
      <c r="D261" t="s">
        <v>824</v>
      </c>
      <c r="E261" t="s">
        <v>220</v>
      </c>
      <c r="F261" t="s">
        <v>106</v>
      </c>
      <c r="G261" t="s">
        <v>107</v>
      </c>
      <c r="H261" t="s">
        <v>228</v>
      </c>
    </row>
    <row r="262" spans="1:8" x14ac:dyDescent="0.3">
      <c r="A262" t="s">
        <v>825</v>
      </c>
      <c r="B262" t="s">
        <v>756</v>
      </c>
      <c r="C262" t="s">
        <v>93</v>
      </c>
      <c r="D262" t="s">
        <v>826</v>
      </c>
      <c r="E262" t="s">
        <v>145</v>
      </c>
      <c r="F262" t="s">
        <v>113</v>
      </c>
      <c r="G262" t="s">
        <v>107</v>
      </c>
      <c r="H262" t="s">
        <v>54</v>
      </c>
    </row>
    <row r="263" spans="1:8" x14ac:dyDescent="0.3">
      <c r="A263" t="s">
        <v>827</v>
      </c>
      <c r="B263" t="s">
        <v>458</v>
      </c>
      <c r="C263" t="s">
        <v>60</v>
      </c>
      <c r="D263" t="s">
        <v>828</v>
      </c>
      <c r="E263" t="s">
        <v>127</v>
      </c>
      <c r="F263" t="s">
        <v>122</v>
      </c>
      <c r="G263" t="s">
        <v>107</v>
      </c>
      <c r="H263" t="s">
        <v>180</v>
      </c>
    </row>
    <row r="264" spans="1:8" x14ac:dyDescent="0.3">
      <c r="A264" t="s">
        <v>829</v>
      </c>
      <c r="B264" t="s">
        <v>830</v>
      </c>
      <c r="C264" t="s">
        <v>50</v>
      </c>
      <c r="D264" t="s">
        <v>831</v>
      </c>
      <c r="E264" t="s">
        <v>227</v>
      </c>
      <c r="F264" t="s">
        <v>113</v>
      </c>
      <c r="G264" t="s">
        <v>107</v>
      </c>
      <c r="H264" t="s">
        <v>296</v>
      </c>
    </row>
    <row r="265" spans="1:8" x14ac:dyDescent="0.3">
      <c r="A265" t="s">
        <v>832</v>
      </c>
      <c r="B265" t="s">
        <v>276</v>
      </c>
      <c r="C265" t="s">
        <v>43</v>
      </c>
      <c r="D265" t="s">
        <v>833</v>
      </c>
      <c r="E265" t="s">
        <v>112</v>
      </c>
      <c r="F265" t="s">
        <v>106</v>
      </c>
      <c r="G265" t="s">
        <v>155</v>
      </c>
      <c r="H265" t="s">
        <v>91</v>
      </c>
    </row>
    <row r="266" spans="1:8" x14ac:dyDescent="0.3">
      <c r="A266" t="s">
        <v>834</v>
      </c>
      <c r="B266" t="s">
        <v>123</v>
      </c>
      <c r="C266" t="s">
        <v>60</v>
      </c>
      <c r="D266" t="s">
        <v>835</v>
      </c>
      <c r="E266" t="s">
        <v>145</v>
      </c>
      <c r="F266" t="s">
        <v>113</v>
      </c>
      <c r="G266" t="s">
        <v>107</v>
      </c>
      <c r="H266" t="s">
        <v>180</v>
      </c>
    </row>
    <row r="267" spans="1:8" x14ac:dyDescent="0.3">
      <c r="A267" t="s">
        <v>836</v>
      </c>
      <c r="B267" t="s">
        <v>420</v>
      </c>
      <c r="C267" t="s">
        <v>62</v>
      </c>
      <c r="D267" t="s">
        <v>837</v>
      </c>
      <c r="E267" t="s">
        <v>105</v>
      </c>
      <c r="F267" t="s">
        <v>106</v>
      </c>
      <c r="G267" t="s">
        <v>107</v>
      </c>
      <c r="H267" t="s">
        <v>323</v>
      </c>
    </row>
    <row r="268" spans="1:8" x14ac:dyDescent="0.3">
      <c r="A268" t="s">
        <v>838</v>
      </c>
      <c r="B268" t="s">
        <v>839</v>
      </c>
      <c r="C268" t="s">
        <v>91</v>
      </c>
      <c r="D268" t="s">
        <v>840</v>
      </c>
      <c r="E268" t="s">
        <v>105</v>
      </c>
      <c r="F268" t="s">
        <v>106</v>
      </c>
      <c r="G268" t="s">
        <v>107</v>
      </c>
      <c r="H268" t="s">
        <v>46</v>
      </c>
    </row>
    <row r="269" spans="1:8" x14ac:dyDescent="0.3">
      <c r="A269" t="s">
        <v>841</v>
      </c>
      <c r="B269" t="s">
        <v>842</v>
      </c>
      <c r="C269" t="s">
        <v>74</v>
      </c>
      <c r="D269" t="s">
        <v>843</v>
      </c>
      <c r="E269" t="s">
        <v>145</v>
      </c>
      <c r="F269" t="s">
        <v>106</v>
      </c>
      <c r="G269" t="s">
        <v>107</v>
      </c>
      <c r="H269" t="s">
        <v>363</v>
      </c>
    </row>
    <row r="270" spans="1:8" x14ac:dyDescent="0.3">
      <c r="A270" t="s">
        <v>844</v>
      </c>
      <c r="B270" t="s">
        <v>845</v>
      </c>
      <c r="C270" t="s">
        <v>25</v>
      </c>
      <c r="D270" t="s">
        <v>846</v>
      </c>
      <c r="E270" t="s">
        <v>220</v>
      </c>
      <c r="F270" t="s">
        <v>122</v>
      </c>
      <c r="G270" t="s">
        <v>107</v>
      </c>
      <c r="H270" t="s">
        <v>84</v>
      </c>
    </row>
    <row r="271" spans="1:8" x14ac:dyDescent="0.3">
      <c r="A271" t="s">
        <v>847</v>
      </c>
      <c r="B271" t="s">
        <v>337</v>
      </c>
      <c r="C271" t="s">
        <v>78</v>
      </c>
      <c r="D271" t="s">
        <v>848</v>
      </c>
      <c r="E271" t="s">
        <v>227</v>
      </c>
      <c r="F271" t="s">
        <v>113</v>
      </c>
      <c r="G271" t="s">
        <v>155</v>
      </c>
      <c r="H271" t="s">
        <v>48</v>
      </c>
    </row>
    <row r="272" spans="1:8" x14ac:dyDescent="0.3">
      <c r="A272" t="s">
        <v>849</v>
      </c>
      <c r="B272" t="s">
        <v>850</v>
      </c>
      <c r="C272" t="s">
        <v>70</v>
      </c>
      <c r="D272" t="s">
        <v>851</v>
      </c>
      <c r="E272" t="s">
        <v>140</v>
      </c>
      <c r="F272" t="s">
        <v>113</v>
      </c>
      <c r="G272" t="s">
        <v>198</v>
      </c>
      <c r="H272" t="s">
        <v>141</v>
      </c>
    </row>
    <row r="273" spans="1:8" x14ac:dyDescent="0.3">
      <c r="A273" t="s">
        <v>852</v>
      </c>
      <c r="B273" t="s">
        <v>68</v>
      </c>
      <c r="C273" t="s">
        <v>64</v>
      </c>
      <c r="D273" t="s">
        <v>853</v>
      </c>
      <c r="E273" t="s">
        <v>118</v>
      </c>
      <c r="F273" t="s">
        <v>113</v>
      </c>
      <c r="G273" t="s">
        <v>155</v>
      </c>
      <c r="H273" t="s">
        <v>323</v>
      </c>
    </row>
    <row r="274" spans="1:8" x14ac:dyDescent="0.3">
      <c r="A274" t="s">
        <v>854</v>
      </c>
      <c r="B274" t="s">
        <v>146</v>
      </c>
      <c r="C274" t="s">
        <v>60</v>
      </c>
      <c r="D274" t="s">
        <v>855</v>
      </c>
      <c r="E274" t="s">
        <v>227</v>
      </c>
      <c r="F274" t="s">
        <v>113</v>
      </c>
      <c r="G274" t="s">
        <v>107</v>
      </c>
      <c r="H274" t="s">
        <v>68</v>
      </c>
    </row>
    <row r="275" spans="1:8" x14ac:dyDescent="0.3">
      <c r="A275" t="s">
        <v>856</v>
      </c>
      <c r="B275" t="s">
        <v>137</v>
      </c>
      <c r="C275" t="s">
        <v>56</v>
      </c>
      <c r="D275" t="s">
        <v>857</v>
      </c>
      <c r="E275" t="s">
        <v>140</v>
      </c>
      <c r="F275" t="s">
        <v>113</v>
      </c>
      <c r="G275" t="s">
        <v>107</v>
      </c>
      <c r="H275" t="s">
        <v>48</v>
      </c>
    </row>
    <row r="276" spans="1:8" x14ac:dyDescent="0.3">
      <c r="A276" t="s">
        <v>858</v>
      </c>
      <c r="B276" t="s">
        <v>859</v>
      </c>
      <c r="C276" t="s">
        <v>28</v>
      </c>
      <c r="D276" t="s">
        <v>860</v>
      </c>
      <c r="E276" t="s">
        <v>227</v>
      </c>
      <c r="F276" t="s">
        <v>113</v>
      </c>
      <c r="G276" t="s">
        <v>107</v>
      </c>
      <c r="H276" t="s">
        <v>506</v>
      </c>
    </row>
    <row r="277" spans="1:8" x14ac:dyDescent="0.3">
      <c r="A277" t="s">
        <v>861</v>
      </c>
      <c r="B277" t="s">
        <v>862</v>
      </c>
      <c r="C277" t="s">
        <v>4</v>
      </c>
      <c r="D277" t="s">
        <v>863</v>
      </c>
      <c r="E277" t="s">
        <v>227</v>
      </c>
      <c r="F277" t="s">
        <v>113</v>
      </c>
      <c r="G277" t="s">
        <v>107</v>
      </c>
      <c r="H277" t="s">
        <v>30</v>
      </c>
    </row>
    <row r="278" spans="1:8" x14ac:dyDescent="0.3">
      <c r="A278" t="s">
        <v>864</v>
      </c>
      <c r="B278" t="s">
        <v>567</v>
      </c>
      <c r="C278" t="s">
        <v>84</v>
      </c>
      <c r="D278" t="s">
        <v>865</v>
      </c>
      <c r="E278" t="s">
        <v>227</v>
      </c>
      <c r="F278" t="s">
        <v>113</v>
      </c>
      <c r="G278" t="s">
        <v>107</v>
      </c>
      <c r="H278" t="s">
        <v>756</v>
      </c>
    </row>
    <row r="279" spans="1:8" x14ac:dyDescent="0.3">
      <c r="A279" t="s">
        <v>866</v>
      </c>
      <c r="B279" t="s">
        <v>356</v>
      </c>
      <c r="C279" t="s">
        <v>50</v>
      </c>
      <c r="D279" t="s">
        <v>867</v>
      </c>
      <c r="E279" t="s">
        <v>112</v>
      </c>
      <c r="F279" t="s">
        <v>113</v>
      </c>
      <c r="G279" t="s">
        <v>107</v>
      </c>
      <c r="H279" t="s">
        <v>72</v>
      </c>
    </row>
    <row r="280" spans="1:8" x14ac:dyDescent="0.3">
      <c r="A280" t="s">
        <v>868</v>
      </c>
      <c r="B280" t="s">
        <v>869</v>
      </c>
      <c r="C280" t="s">
        <v>66</v>
      </c>
      <c r="D280" t="s">
        <v>870</v>
      </c>
      <c r="E280" t="s">
        <v>227</v>
      </c>
      <c r="F280" t="s">
        <v>122</v>
      </c>
      <c r="G280" t="s">
        <v>107</v>
      </c>
      <c r="H280" t="s">
        <v>413</v>
      </c>
    </row>
    <row r="281" spans="1:8" x14ac:dyDescent="0.3">
      <c r="A281" t="s">
        <v>871</v>
      </c>
      <c r="B281" t="s">
        <v>78</v>
      </c>
      <c r="C281" t="s">
        <v>25</v>
      </c>
      <c r="D281" t="s">
        <v>872</v>
      </c>
      <c r="E281" t="s">
        <v>145</v>
      </c>
      <c r="F281" t="s">
        <v>106</v>
      </c>
      <c r="G281" t="s">
        <v>107</v>
      </c>
      <c r="H281" t="s">
        <v>222</v>
      </c>
    </row>
    <row r="282" spans="1:8" x14ac:dyDescent="0.3">
      <c r="A282" t="s">
        <v>873</v>
      </c>
      <c r="B282" t="s">
        <v>874</v>
      </c>
      <c r="C282" t="s">
        <v>78</v>
      </c>
      <c r="D282" t="s">
        <v>875</v>
      </c>
      <c r="E282" t="s">
        <v>220</v>
      </c>
      <c r="F282" t="s">
        <v>113</v>
      </c>
      <c r="G282" t="s">
        <v>107</v>
      </c>
      <c r="H282" t="s">
        <v>508</v>
      </c>
    </row>
    <row r="283" spans="1:8" x14ac:dyDescent="0.3">
      <c r="A283" t="s">
        <v>876</v>
      </c>
      <c r="B283" t="s">
        <v>484</v>
      </c>
      <c r="C283" t="s">
        <v>68</v>
      </c>
      <c r="D283" t="s">
        <v>877</v>
      </c>
      <c r="E283" t="s">
        <v>112</v>
      </c>
      <c r="F283" t="s">
        <v>113</v>
      </c>
      <c r="G283" t="s">
        <v>155</v>
      </c>
      <c r="H283" t="s">
        <v>496</v>
      </c>
    </row>
    <row r="284" spans="1:8" x14ac:dyDescent="0.3">
      <c r="A284" t="s">
        <v>878</v>
      </c>
      <c r="B284" t="s">
        <v>879</v>
      </c>
      <c r="C284" t="s">
        <v>66</v>
      </c>
      <c r="D284" t="s">
        <v>880</v>
      </c>
      <c r="E284" t="s">
        <v>274</v>
      </c>
      <c r="F284" t="s">
        <v>113</v>
      </c>
      <c r="G284" t="s">
        <v>107</v>
      </c>
      <c r="H284" t="s">
        <v>58</v>
      </c>
    </row>
    <row r="285" spans="1:8" x14ac:dyDescent="0.3">
      <c r="A285" t="s">
        <v>881</v>
      </c>
      <c r="B285" t="s">
        <v>791</v>
      </c>
      <c r="C285" t="s">
        <v>60</v>
      </c>
      <c r="D285" t="s">
        <v>882</v>
      </c>
      <c r="E285" t="s">
        <v>112</v>
      </c>
      <c r="F285" t="s">
        <v>106</v>
      </c>
      <c r="G285" t="s">
        <v>107</v>
      </c>
      <c r="H285" t="s">
        <v>25</v>
      </c>
    </row>
    <row r="286" spans="1:8" x14ac:dyDescent="0.3">
      <c r="A286" t="s">
        <v>883</v>
      </c>
      <c r="B286" t="s">
        <v>494</v>
      </c>
      <c r="C286" t="s">
        <v>84</v>
      </c>
      <c r="D286" t="s">
        <v>884</v>
      </c>
      <c r="E286" t="s">
        <v>118</v>
      </c>
      <c r="F286" t="s">
        <v>113</v>
      </c>
      <c r="G286" t="s">
        <v>107</v>
      </c>
      <c r="H286" t="s">
        <v>8</v>
      </c>
    </row>
    <row r="287" spans="1:8" x14ac:dyDescent="0.3">
      <c r="A287" t="s">
        <v>885</v>
      </c>
      <c r="B287" t="s">
        <v>452</v>
      </c>
      <c r="C287" t="s">
        <v>62</v>
      </c>
      <c r="D287" t="s">
        <v>886</v>
      </c>
      <c r="E287" t="s">
        <v>112</v>
      </c>
      <c r="F287" t="s">
        <v>113</v>
      </c>
      <c r="G287" t="s">
        <v>107</v>
      </c>
      <c r="H287" t="s">
        <v>363</v>
      </c>
    </row>
    <row r="288" spans="1:8" x14ac:dyDescent="0.3">
      <c r="A288" t="s">
        <v>887</v>
      </c>
      <c r="B288" t="s">
        <v>888</v>
      </c>
      <c r="C288" t="s">
        <v>17</v>
      </c>
      <c r="D288" t="s">
        <v>889</v>
      </c>
      <c r="E288" t="s">
        <v>112</v>
      </c>
      <c r="F288" t="s">
        <v>154</v>
      </c>
      <c r="G288" t="s">
        <v>107</v>
      </c>
      <c r="H288" t="s">
        <v>141</v>
      </c>
    </row>
    <row r="289" spans="1:8" x14ac:dyDescent="0.3">
      <c r="A289" t="s">
        <v>890</v>
      </c>
      <c r="B289" t="s">
        <v>891</v>
      </c>
      <c r="C289" t="s">
        <v>23</v>
      </c>
      <c r="D289" t="s">
        <v>892</v>
      </c>
      <c r="E289" t="s">
        <v>145</v>
      </c>
      <c r="F289" t="s">
        <v>113</v>
      </c>
      <c r="G289" t="s">
        <v>107</v>
      </c>
      <c r="H289" t="s">
        <v>238</v>
      </c>
    </row>
    <row r="290" spans="1:8" x14ac:dyDescent="0.3">
      <c r="A290" t="s">
        <v>893</v>
      </c>
      <c r="B290" t="s">
        <v>455</v>
      </c>
      <c r="C290" t="s">
        <v>28</v>
      </c>
      <c r="D290" t="s">
        <v>894</v>
      </c>
      <c r="E290" t="s">
        <v>145</v>
      </c>
      <c r="F290" t="s">
        <v>113</v>
      </c>
      <c r="G290" t="s">
        <v>107</v>
      </c>
      <c r="H290" t="s">
        <v>17</v>
      </c>
    </row>
    <row r="291" spans="1:8" x14ac:dyDescent="0.3">
      <c r="A291" t="s">
        <v>895</v>
      </c>
      <c r="B291" t="s">
        <v>896</v>
      </c>
      <c r="C291" t="s">
        <v>34</v>
      </c>
      <c r="D291" t="s">
        <v>897</v>
      </c>
      <c r="E291" t="s">
        <v>118</v>
      </c>
      <c r="F291" t="s">
        <v>122</v>
      </c>
      <c r="G291" t="s">
        <v>107</v>
      </c>
      <c r="H291" t="s">
        <v>127</v>
      </c>
    </row>
    <row r="292" spans="1:8" x14ac:dyDescent="0.3">
      <c r="A292" t="s">
        <v>898</v>
      </c>
      <c r="B292" t="s">
        <v>390</v>
      </c>
      <c r="C292" t="s">
        <v>34</v>
      </c>
      <c r="D292" t="s">
        <v>899</v>
      </c>
      <c r="E292" t="s">
        <v>127</v>
      </c>
      <c r="F292" t="s">
        <v>106</v>
      </c>
      <c r="G292" t="s">
        <v>107</v>
      </c>
      <c r="H292" t="s">
        <v>46</v>
      </c>
    </row>
    <row r="293" spans="1:8" x14ac:dyDescent="0.3">
      <c r="A293" t="s">
        <v>900</v>
      </c>
      <c r="B293" t="s">
        <v>901</v>
      </c>
      <c r="C293" t="s">
        <v>12</v>
      </c>
      <c r="D293" t="s">
        <v>902</v>
      </c>
      <c r="E293" t="s">
        <v>112</v>
      </c>
      <c r="F293" t="s">
        <v>113</v>
      </c>
      <c r="G293" t="s">
        <v>107</v>
      </c>
      <c r="H293" t="s">
        <v>87</v>
      </c>
    </row>
    <row r="294" spans="1:8" x14ac:dyDescent="0.3">
      <c r="A294" t="s">
        <v>903</v>
      </c>
      <c r="B294" t="s">
        <v>839</v>
      </c>
      <c r="C294" t="s">
        <v>12</v>
      </c>
      <c r="D294" t="s">
        <v>904</v>
      </c>
      <c r="E294" t="s">
        <v>220</v>
      </c>
      <c r="F294" t="s">
        <v>113</v>
      </c>
      <c r="G294" t="s">
        <v>107</v>
      </c>
      <c r="H294" t="s">
        <v>93</v>
      </c>
    </row>
    <row r="295" spans="1:8" x14ac:dyDescent="0.3">
      <c r="A295" t="s">
        <v>905</v>
      </c>
      <c r="B295" t="s">
        <v>906</v>
      </c>
      <c r="C295" t="s">
        <v>82</v>
      </c>
      <c r="D295" t="s">
        <v>907</v>
      </c>
      <c r="E295" t="s">
        <v>127</v>
      </c>
      <c r="F295" t="s">
        <v>106</v>
      </c>
      <c r="G295" t="s">
        <v>107</v>
      </c>
      <c r="H295" t="s">
        <v>131</v>
      </c>
    </row>
    <row r="296" spans="1:8" x14ac:dyDescent="0.3">
      <c r="A296" t="s">
        <v>908</v>
      </c>
      <c r="B296" t="s">
        <v>909</v>
      </c>
      <c r="C296" t="s">
        <v>36</v>
      </c>
      <c r="D296" t="s">
        <v>910</v>
      </c>
      <c r="E296" t="s">
        <v>112</v>
      </c>
      <c r="F296" t="s">
        <v>154</v>
      </c>
      <c r="G296" t="s">
        <v>107</v>
      </c>
      <c r="H296" t="s">
        <v>84</v>
      </c>
    </row>
    <row r="297" spans="1:8" x14ac:dyDescent="0.3">
      <c r="A297" t="s">
        <v>911</v>
      </c>
      <c r="B297" t="s">
        <v>189</v>
      </c>
      <c r="C297" t="s">
        <v>56</v>
      </c>
      <c r="D297" t="s">
        <v>912</v>
      </c>
      <c r="E297" t="s">
        <v>220</v>
      </c>
      <c r="F297" t="s">
        <v>113</v>
      </c>
      <c r="G297" t="s">
        <v>107</v>
      </c>
      <c r="H297" t="s">
        <v>80</v>
      </c>
    </row>
    <row r="298" spans="1:8" x14ac:dyDescent="0.3">
      <c r="A298" t="s">
        <v>913</v>
      </c>
      <c r="B298" t="s">
        <v>914</v>
      </c>
      <c r="C298" t="s">
        <v>70</v>
      </c>
      <c r="D298" t="s">
        <v>915</v>
      </c>
      <c r="E298" t="s">
        <v>127</v>
      </c>
      <c r="F298" t="s">
        <v>106</v>
      </c>
      <c r="G298" t="s">
        <v>107</v>
      </c>
      <c r="H298" t="s">
        <v>112</v>
      </c>
    </row>
    <row r="299" spans="1:8" x14ac:dyDescent="0.3">
      <c r="A299" t="s">
        <v>916</v>
      </c>
      <c r="B299" t="s">
        <v>917</v>
      </c>
      <c r="C299" t="s">
        <v>60</v>
      </c>
      <c r="D299" t="s">
        <v>918</v>
      </c>
      <c r="E299" t="s">
        <v>140</v>
      </c>
      <c r="F299" t="s">
        <v>113</v>
      </c>
      <c r="G299" t="s">
        <v>107</v>
      </c>
      <c r="H299" t="s">
        <v>811</v>
      </c>
    </row>
    <row r="300" spans="1:8" x14ac:dyDescent="0.3">
      <c r="A300" t="s">
        <v>919</v>
      </c>
      <c r="B300" t="s">
        <v>920</v>
      </c>
      <c r="C300" t="s">
        <v>20</v>
      </c>
      <c r="D300" t="s">
        <v>921</v>
      </c>
      <c r="E300" t="s">
        <v>127</v>
      </c>
      <c r="F300" t="s">
        <v>113</v>
      </c>
      <c r="G300" t="s">
        <v>107</v>
      </c>
      <c r="H300" t="s">
        <v>187</v>
      </c>
    </row>
    <row r="301" spans="1:8" x14ac:dyDescent="0.3">
      <c r="A301" t="s">
        <v>922</v>
      </c>
      <c r="B301" t="s">
        <v>358</v>
      </c>
      <c r="C301" t="s">
        <v>54</v>
      </c>
      <c r="D301" t="s">
        <v>923</v>
      </c>
      <c r="E301" t="s">
        <v>112</v>
      </c>
      <c r="F301" t="s">
        <v>113</v>
      </c>
      <c r="G301" t="s">
        <v>107</v>
      </c>
      <c r="H301" t="s">
        <v>36</v>
      </c>
    </row>
    <row r="302" spans="1:8" x14ac:dyDescent="0.3">
      <c r="A302" t="s">
        <v>924</v>
      </c>
      <c r="B302" t="s">
        <v>563</v>
      </c>
      <c r="C302" t="s">
        <v>52</v>
      </c>
      <c r="D302" t="s">
        <v>925</v>
      </c>
      <c r="E302" t="s">
        <v>112</v>
      </c>
      <c r="F302" t="s">
        <v>113</v>
      </c>
      <c r="G302" t="s">
        <v>107</v>
      </c>
      <c r="H302" t="s">
        <v>356</v>
      </c>
    </row>
    <row r="303" spans="1:8" x14ac:dyDescent="0.3">
      <c r="A303" t="s">
        <v>926</v>
      </c>
      <c r="B303" t="s">
        <v>180</v>
      </c>
      <c r="C303" t="s">
        <v>70</v>
      </c>
      <c r="D303" t="s">
        <v>927</v>
      </c>
      <c r="E303" t="s">
        <v>227</v>
      </c>
      <c r="F303" t="s">
        <v>154</v>
      </c>
      <c r="G303" t="s">
        <v>107</v>
      </c>
      <c r="H303" t="s">
        <v>141</v>
      </c>
    </row>
    <row r="304" spans="1:8" x14ac:dyDescent="0.3">
      <c r="A304" t="s">
        <v>928</v>
      </c>
      <c r="B304" t="s">
        <v>929</v>
      </c>
      <c r="C304" t="s">
        <v>93</v>
      </c>
      <c r="D304" t="s">
        <v>930</v>
      </c>
      <c r="E304" t="s">
        <v>227</v>
      </c>
      <c r="F304" t="s">
        <v>113</v>
      </c>
      <c r="G304" t="s">
        <v>107</v>
      </c>
      <c r="H304" t="s">
        <v>187</v>
      </c>
    </row>
    <row r="305" spans="1:8" x14ac:dyDescent="0.3">
      <c r="A305" t="s">
        <v>931</v>
      </c>
      <c r="B305" t="s">
        <v>72</v>
      </c>
      <c r="C305" t="s">
        <v>17</v>
      </c>
      <c r="D305" t="s">
        <v>932</v>
      </c>
      <c r="E305" t="s">
        <v>145</v>
      </c>
      <c r="F305" t="s">
        <v>113</v>
      </c>
      <c r="G305" t="s">
        <v>107</v>
      </c>
      <c r="H305" t="s">
        <v>108</v>
      </c>
    </row>
    <row r="306" spans="1:8" x14ac:dyDescent="0.3">
      <c r="A306" t="s">
        <v>933</v>
      </c>
      <c r="B306" t="s">
        <v>934</v>
      </c>
      <c r="C306" t="s">
        <v>32</v>
      </c>
      <c r="D306" t="s">
        <v>935</v>
      </c>
      <c r="E306" t="s">
        <v>227</v>
      </c>
      <c r="F306" t="s">
        <v>106</v>
      </c>
      <c r="G306" t="s">
        <v>107</v>
      </c>
      <c r="H306" t="s">
        <v>12</v>
      </c>
    </row>
    <row r="307" spans="1:8" x14ac:dyDescent="0.3">
      <c r="A307" t="s">
        <v>936</v>
      </c>
      <c r="B307" t="s">
        <v>937</v>
      </c>
      <c r="C307" t="s">
        <v>12</v>
      </c>
      <c r="D307" t="s">
        <v>938</v>
      </c>
      <c r="E307" t="s">
        <v>127</v>
      </c>
      <c r="F307" t="s">
        <v>122</v>
      </c>
      <c r="G307" t="s">
        <v>107</v>
      </c>
      <c r="H307" t="s">
        <v>43</v>
      </c>
    </row>
    <row r="308" spans="1:8" x14ac:dyDescent="0.3">
      <c r="A308" t="s">
        <v>939</v>
      </c>
      <c r="B308" t="s">
        <v>622</v>
      </c>
      <c r="C308" t="s">
        <v>60</v>
      </c>
      <c r="D308" t="s">
        <v>940</v>
      </c>
      <c r="E308" t="s">
        <v>112</v>
      </c>
      <c r="F308" t="s">
        <v>154</v>
      </c>
      <c r="G308" t="s">
        <v>107</v>
      </c>
      <c r="H308" t="s">
        <v>166</v>
      </c>
    </row>
    <row r="309" spans="1:8" x14ac:dyDescent="0.3">
      <c r="A309" t="s">
        <v>941</v>
      </c>
      <c r="B309" t="s">
        <v>784</v>
      </c>
      <c r="C309" t="s">
        <v>30</v>
      </c>
      <c r="D309" t="s">
        <v>942</v>
      </c>
      <c r="E309" t="s">
        <v>118</v>
      </c>
      <c r="F309" t="s">
        <v>154</v>
      </c>
      <c r="G309" t="s">
        <v>107</v>
      </c>
      <c r="H309" t="s">
        <v>180</v>
      </c>
    </row>
    <row r="310" spans="1:8" x14ac:dyDescent="0.3">
      <c r="A310" t="s">
        <v>943</v>
      </c>
      <c r="B310" t="s">
        <v>944</v>
      </c>
      <c r="C310" t="s">
        <v>17</v>
      </c>
      <c r="D310" t="s">
        <v>945</v>
      </c>
      <c r="E310" t="s">
        <v>112</v>
      </c>
      <c r="F310" t="s">
        <v>113</v>
      </c>
      <c r="G310" t="s">
        <v>107</v>
      </c>
      <c r="H310" t="s">
        <v>508</v>
      </c>
    </row>
    <row r="311" spans="1:8" x14ac:dyDescent="0.3">
      <c r="A311" t="s">
        <v>946</v>
      </c>
      <c r="B311" t="s">
        <v>906</v>
      </c>
      <c r="C311" t="s">
        <v>54</v>
      </c>
      <c r="D311" t="s">
        <v>947</v>
      </c>
      <c r="E311" t="s">
        <v>220</v>
      </c>
      <c r="F311" t="s">
        <v>113</v>
      </c>
      <c r="G311" t="s">
        <v>107</v>
      </c>
      <c r="H311" t="s">
        <v>519</v>
      </c>
    </row>
    <row r="312" spans="1:8" x14ac:dyDescent="0.3">
      <c r="A312" t="s">
        <v>948</v>
      </c>
      <c r="B312" t="s">
        <v>39</v>
      </c>
      <c r="C312" t="s">
        <v>34</v>
      </c>
      <c r="D312" t="s">
        <v>372</v>
      </c>
      <c r="E312" t="s">
        <v>140</v>
      </c>
      <c r="F312" t="s">
        <v>122</v>
      </c>
      <c r="G312" t="s">
        <v>107</v>
      </c>
      <c r="H312" t="s">
        <v>222</v>
      </c>
    </row>
    <row r="313" spans="1:8" x14ac:dyDescent="0.3">
      <c r="A313" t="s">
        <v>949</v>
      </c>
      <c r="B313" t="s">
        <v>602</v>
      </c>
      <c r="C313" t="s">
        <v>25</v>
      </c>
      <c r="D313" t="s">
        <v>950</v>
      </c>
      <c r="E313" t="s">
        <v>112</v>
      </c>
      <c r="F313" t="s">
        <v>113</v>
      </c>
      <c r="G313" t="s">
        <v>107</v>
      </c>
      <c r="H313" t="s">
        <v>78</v>
      </c>
    </row>
    <row r="314" spans="1:8" x14ac:dyDescent="0.3">
      <c r="A314" t="s">
        <v>951</v>
      </c>
      <c r="B314" t="s">
        <v>952</v>
      </c>
      <c r="C314" t="s">
        <v>39</v>
      </c>
      <c r="D314" t="s">
        <v>953</v>
      </c>
      <c r="E314" t="s">
        <v>118</v>
      </c>
      <c r="F314" t="s">
        <v>113</v>
      </c>
      <c r="G314" t="s">
        <v>107</v>
      </c>
      <c r="H314" t="s">
        <v>208</v>
      </c>
    </row>
    <row r="315" spans="1:8" x14ac:dyDescent="0.3">
      <c r="A315" t="s">
        <v>954</v>
      </c>
      <c r="B315" t="s">
        <v>387</v>
      </c>
      <c r="C315" t="s">
        <v>36</v>
      </c>
      <c r="D315" t="s">
        <v>955</v>
      </c>
      <c r="E315" t="s">
        <v>127</v>
      </c>
      <c r="F315" t="s">
        <v>106</v>
      </c>
      <c r="G315" t="s">
        <v>107</v>
      </c>
      <c r="H315" t="s">
        <v>41</v>
      </c>
    </row>
    <row r="316" spans="1:8" x14ac:dyDescent="0.3">
      <c r="A316" t="s">
        <v>956</v>
      </c>
      <c r="B316" t="s">
        <v>385</v>
      </c>
      <c r="C316" t="s">
        <v>70</v>
      </c>
      <c r="D316" t="s">
        <v>957</v>
      </c>
      <c r="E316" t="s">
        <v>140</v>
      </c>
      <c r="F316" t="s">
        <v>113</v>
      </c>
      <c r="G316" t="s">
        <v>107</v>
      </c>
      <c r="H316" t="s">
        <v>32</v>
      </c>
    </row>
    <row r="317" spans="1:8" x14ac:dyDescent="0.3">
      <c r="A317" t="s">
        <v>958</v>
      </c>
      <c r="B317" t="s">
        <v>959</v>
      </c>
      <c r="C317" t="s">
        <v>58</v>
      </c>
      <c r="D317" t="s">
        <v>960</v>
      </c>
      <c r="E317" t="s">
        <v>112</v>
      </c>
      <c r="F317" t="s">
        <v>122</v>
      </c>
      <c r="G317" t="s">
        <v>107</v>
      </c>
      <c r="H317" t="s">
        <v>162</v>
      </c>
    </row>
    <row r="318" spans="1:8" x14ac:dyDescent="0.3">
      <c r="A318" t="s">
        <v>961</v>
      </c>
      <c r="B318" t="s">
        <v>227</v>
      </c>
      <c r="C318" t="s">
        <v>52</v>
      </c>
      <c r="D318" t="s">
        <v>962</v>
      </c>
      <c r="E318" t="s">
        <v>145</v>
      </c>
      <c r="F318" t="s">
        <v>106</v>
      </c>
      <c r="G318" t="s">
        <v>107</v>
      </c>
      <c r="H318" t="s">
        <v>52</v>
      </c>
    </row>
    <row r="319" spans="1:8" x14ac:dyDescent="0.3">
      <c r="A319" t="s">
        <v>963</v>
      </c>
      <c r="B319" t="s">
        <v>236</v>
      </c>
      <c r="C319" t="s">
        <v>34</v>
      </c>
      <c r="D319" t="s">
        <v>964</v>
      </c>
      <c r="E319" t="s">
        <v>112</v>
      </c>
      <c r="F319" t="s">
        <v>122</v>
      </c>
      <c r="G319" t="s">
        <v>107</v>
      </c>
      <c r="H319" t="s">
        <v>166</v>
      </c>
    </row>
    <row r="320" spans="1:8" x14ac:dyDescent="0.3">
      <c r="A320" t="s">
        <v>965</v>
      </c>
      <c r="B320" t="s">
        <v>839</v>
      </c>
      <c r="C320" t="s">
        <v>28</v>
      </c>
      <c r="D320" t="s">
        <v>966</v>
      </c>
      <c r="E320" t="s">
        <v>227</v>
      </c>
      <c r="F320" t="s">
        <v>113</v>
      </c>
      <c r="G320" t="s">
        <v>107</v>
      </c>
      <c r="H320" t="s">
        <v>72</v>
      </c>
    </row>
    <row r="321" spans="1:8" x14ac:dyDescent="0.3">
      <c r="A321" t="s">
        <v>967</v>
      </c>
      <c r="B321" t="s">
        <v>968</v>
      </c>
      <c r="C321" t="s">
        <v>84</v>
      </c>
      <c r="D321" t="s">
        <v>969</v>
      </c>
      <c r="E321" t="s">
        <v>112</v>
      </c>
      <c r="F321" t="s">
        <v>106</v>
      </c>
      <c r="G321" t="s">
        <v>107</v>
      </c>
      <c r="H321" t="s">
        <v>508</v>
      </c>
    </row>
    <row r="322" spans="1:8" x14ac:dyDescent="0.3">
      <c r="A322" t="s">
        <v>970</v>
      </c>
      <c r="B322" t="s">
        <v>479</v>
      </c>
      <c r="C322" t="s">
        <v>28</v>
      </c>
      <c r="D322" t="s">
        <v>971</v>
      </c>
      <c r="E322" t="s">
        <v>145</v>
      </c>
      <c r="F322" t="s">
        <v>113</v>
      </c>
      <c r="G322" t="s">
        <v>107</v>
      </c>
      <c r="H322" t="s">
        <v>208</v>
      </c>
    </row>
    <row r="323" spans="1:8" x14ac:dyDescent="0.3">
      <c r="A323" t="s">
        <v>972</v>
      </c>
      <c r="B323" t="s">
        <v>203</v>
      </c>
      <c r="C323" t="s">
        <v>64</v>
      </c>
      <c r="D323" t="s">
        <v>973</v>
      </c>
      <c r="E323" t="s">
        <v>127</v>
      </c>
      <c r="F323" t="s">
        <v>113</v>
      </c>
      <c r="G323" t="s">
        <v>107</v>
      </c>
      <c r="H323" t="s">
        <v>762</v>
      </c>
    </row>
    <row r="324" spans="1:8" x14ac:dyDescent="0.3">
      <c r="A324" t="s">
        <v>974</v>
      </c>
      <c r="B324" t="s">
        <v>458</v>
      </c>
      <c r="C324" t="s">
        <v>66</v>
      </c>
      <c r="D324" t="s">
        <v>975</v>
      </c>
      <c r="E324" t="s">
        <v>127</v>
      </c>
      <c r="F324" t="s">
        <v>106</v>
      </c>
      <c r="G324" t="s">
        <v>107</v>
      </c>
      <c r="H324" t="s">
        <v>508</v>
      </c>
    </row>
    <row r="325" spans="1:8" x14ac:dyDescent="0.3">
      <c r="A325" t="s">
        <v>976</v>
      </c>
      <c r="B325" t="s">
        <v>842</v>
      </c>
      <c r="C325" t="s">
        <v>17</v>
      </c>
      <c r="D325" t="s">
        <v>977</v>
      </c>
      <c r="E325" t="s">
        <v>220</v>
      </c>
      <c r="F325" t="s">
        <v>122</v>
      </c>
      <c r="G325" t="s">
        <v>107</v>
      </c>
      <c r="H325" t="s">
        <v>356</v>
      </c>
    </row>
    <row r="326" spans="1:8" x14ac:dyDescent="0.3">
      <c r="A326" t="s">
        <v>978</v>
      </c>
      <c r="B326" t="s">
        <v>365</v>
      </c>
      <c r="C326" t="s">
        <v>28</v>
      </c>
      <c r="D326" t="s">
        <v>979</v>
      </c>
      <c r="E326" t="s">
        <v>127</v>
      </c>
      <c r="F326" t="s">
        <v>113</v>
      </c>
      <c r="G326" t="s">
        <v>107</v>
      </c>
      <c r="H326" t="s">
        <v>127</v>
      </c>
    </row>
    <row r="327" spans="1:8" x14ac:dyDescent="0.3">
      <c r="A327" t="s">
        <v>980</v>
      </c>
      <c r="B327" t="s">
        <v>981</v>
      </c>
      <c r="C327" t="s">
        <v>28</v>
      </c>
      <c r="D327" t="s">
        <v>982</v>
      </c>
      <c r="E327" t="s">
        <v>145</v>
      </c>
      <c r="F327" t="s">
        <v>113</v>
      </c>
      <c r="G327" t="s">
        <v>107</v>
      </c>
      <c r="H327" t="s">
        <v>187</v>
      </c>
    </row>
    <row r="328" spans="1:8" x14ac:dyDescent="0.3">
      <c r="A328" t="s">
        <v>983</v>
      </c>
      <c r="B328" t="s">
        <v>323</v>
      </c>
      <c r="C328" t="s">
        <v>80</v>
      </c>
      <c r="D328" t="s">
        <v>984</v>
      </c>
      <c r="E328" t="s">
        <v>145</v>
      </c>
      <c r="F328" t="s">
        <v>113</v>
      </c>
      <c r="G328" t="s">
        <v>107</v>
      </c>
      <c r="H328" t="s">
        <v>50</v>
      </c>
    </row>
    <row r="329" spans="1:8" x14ac:dyDescent="0.3">
      <c r="A329" t="s">
        <v>985</v>
      </c>
      <c r="B329" t="s">
        <v>442</v>
      </c>
      <c r="C329" t="s">
        <v>41</v>
      </c>
      <c r="D329" t="s">
        <v>986</v>
      </c>
      <c r="E329" t="s">
        <v>112</v>
      </c>
      <c r="F329" t="s">
        <v>113</v>
      </c>
      <c r="G329" t="s">
        <v>107</v>
      </c>
      <c r="H329" t="s">
        <v>141</v>
      </c>
    </row>
    <row r="330" spans="1:8" x14ac:dyDescent="0.3">
      <c r="A330" t="s">
        <v>987</v>
      </c>
      <c r="B330" t="s">
        <v>288</v>
      </c>
      <c r="C330" t="s">
        <v>46</v>
      </c>
      <c r="D330" t="s">
        <v>988</v>
      </c>
      <c r="E330" t="s">
        <v>145</v>
      </c>
      <c r="F330" t="s">
        <v>106</v>
      </c>
      <c r="G330" t="s">
        <v>107</v>
      </c>
      <c r="H330" t="s">
        <v>62</v>
      </c>
    </row>
    <row r="331" spans="1:8" x14ac:dyDescent="0.3">
      <c r="A331" t="s">
        <v>989</v>
      </c>
      <c r="B331" t="s">
        <v>630</v>
      </c>
      <c r="C331" t="s">
        <v>52</v>
      </c>
      <c r="D331" t="s">
        <v>990</v>
      </c>
      <c r="E331" t="s">
        <v>127</v>
      </c>
      <c r="F331" t="s">
        <v>154</v>
      </c>
      <c r="G331" t="s">
        <v>107</v>
      </c>
      <c r="H331" t="s">
        <v>208</v>
      </c>
    </row>
    <row r="332" spans="1:8" x14ac:dyDescent="0.3">
      <c r="A332" t="s">
        <v>991</v>
      </c>
      <c r="B332" t="s">
        <v>842</v>
      </c>
      <c r="C332" t="s">
        <v>32</v>
      </c>
      <c r="D332" t="s">
        <v>992</v>
      </c>
      <c r="E332" t="s">
        <v>220</v>
      </c>
      <c r="F332" t="s">
        <v>113</v>
      </c>
      <c r="G332" t="s">
        <v>107</v>
      </c>
      <c r="H332" t="s">
        <v>313</v>
      </c>
    </row>
    <row r="333" spans="1:8" x14ac:dyDescent="0.3">
      <c r="A333" t="s">
        <v>993</v>
      </c>
      <c r="B333" t="s">
        <v>196</v>
      </c>
      <c r="C333" t="s">
        <v>93</v>
      </c>
      <c r="D333" t="s">
        <v>994</v>
      </c>
      <c r="E333" t="s">
        <v>227</v>
      </c>
      <c r="F333" t="s">
        <v>113</v>
      </c>
      <c r="G333" t="s">
        <v>107</v>
      </c>
      <c r="H333" t="s">
        <v>120</v>
      </c>
    </row>
    <row r="334" spans="1:8" x14ac:dyDescent="0.3">
      <c r="A334" t="s">
        <v>995</v>
      </c>
      <c r="B334" t="s">
        <v>996</v>
      </c>
      <c r="C334" t="s">
        <v>12</v>
      </c>
      <c r="D334" t="s">
        <v>997</v>
      </c>
      <c r="E334" t="s">
        <v>112</v>
      </c>
      <c r="F334" t="s">
        <v>122</v>
      </c>
      <c r="G334" t="s">
        <v>107</v>
      </c>
      <c r="H334" t="s">
        <v>12</v>
      </c>
    </row>
    <row r="335" spans="1:8" x14ac:dyDescent="0.3">
      <c r="A335" t="s">
        <v>998</v>
      </c>
      <c r="B335" t="s">
        <v>396</v>
      </c>
      <c r="C335" t="s">
        <v>46</v>
      </c>
      <c r="D335" t="s">
        <v>999</v>
      </c>
      <c r="E335" t="s">
        <v>127</v>
      </c>
      <c r="F335" t="s">
        <v>113</v>
      </c>
      <c r="G335" t="s">
        <v>107</v>
      </c>
      <c r="H335" t="s">
        <v>519</v>
      </c>
    </row>
    <row r="336" spans="1:8" x14ac:dyDescent="0.3">
      <c r="A336" t="s">
        <v>1000</v>
      </c>
      <c r="B336" t="s">
        <v>823</v>
      </c>
      <c r="C336" t="s">
        <v>8</v>
      </c>
      <c r="D336" t="s">
        <v>1001</v>
      </c>
      <c r="E336" t="s">
        <v>220</v>
      </c>
      <c r="F336" t="s">
        <v>154</v>
      </c>
      <c r="G336" t="s">
        <v>107</v>
      </c>
      <c r="H336" t="s">
        <v>222</v>
      </c>
    </row>
    <row r="337" spans="1:8" x14ac:dyDescent="0.3">
      <c r="A337" t="s">
        <v>1002</v>
      </c>
      <c r="B337" t="s">
        <v>227</v>
      </c>
      <c r="C337" t="s">
        <v>52</v>
      </c>
      <c r="D337" t="s">
        <v>1003</v>
      </c>
      <c r="E337" t="s">
        <v>220</v>
      </c>
      <c r="F337" t="s">
        <v>154</v>
      </c>
      <c r="G337" t="s">
        <v>107</v>
      </c>
      <c r="H337" t="s">
        <v>259</v>
      </c>
    </row>
    <row r="338" spans="1:8" x14ac:dyDescent="0.3">
      <c r="A338" t="s">
        <v>1004</v>
      </c>
      <c r="B338" t="s">
        <v>1005</v>
      </c>
      <c r="C338" t="s">
        <v>72</v>
      </c>
      <c r="D338" t="s">
        <v>1006</v>
      </c>
      <c r="E338" t="s">
        <v>145</v>
      </c>
      <c r="F338" t="s">
        <v>113</v>
      </c>
      <c r="G338" t="s">
        <v>107</v>
      </c>
      <c r="H338" t="s">
        <v>28</v>
      </c>
    </row>
    <row r="339" spans="1:8" x14ac:dyDescent="0.3">
      <c r="A339" t="s">
        <v>1007</v>
      </c>
      <c r="B339" t="s">
        <v>1008</v>
      </c>
      <c r="C339" t="s">
        <v>66</v>
      </c>
      <c r="D339" t="s">
        <v>1009</v>
      </c>
      <c r="E339" t="s">
        <v>105</v>
      </c>
      <c r="F339" t="s">
        <v>113</v>
      </c>
      <c r="G339" t="s">
        <v>198</v>
      </c>
      <c r="H339" t="s">
        <v>259</v>
      </c>
    </row>
    <row r="340" spans="1:8" x14ac:dyDescent="0.3">
      <c r="A340" t="s">
        <v>1010</v>
      </c>
      <c r="B340" t="s">
        <v>157</v>
      </c>
      <c r="C340" t="s">
        <v>30</v>
      </c>
      <c r="D340" t="s">
        <v>1011</v>
      </c>
      <c r="E340" t="s">
        <v>105</v>
      </c>
      <c r="F340" t="s">
        <v>113</v>
      </c>
      <c r="G340" t="s">
        <v>107</v>
      </c>
      <c r="H340" t="s">
        <v>93</v>
      </c>
    </row>
    <row r="341" spans="1:8" x14ac:dyDescent="0.3">
      <c r="A341" t="s">
        <v>1012</v>
      </c>
      <c r="B341" t="s">
        <v>365</v>
      </c>
      <c r="C341" t="s">
        <v>64</v>
      </c>
      <c r="D341" t="s">
        <v>1013</v>
      </c>
      <c r="E341" t="s">
        <v>118</v>
      </c>
      <c r="F341" t="s">
        <v>113</v>
      </c>
      <c r="G341" t="s">
        <v>107</v>
      </c>
      <c r="H341" t="s">
        <v>43</v>
      </c>
    </row>
    <row r="342" spans="1:8" x14ac:dyDescent="0.3">
      <c r="A342" t="s">
        <v>1014</v>
      </c>
      <c r="B342" t="s">
        <v>602</v>
      </c>
      <c r="C342" t="s">
        <v>23</v>
      </c>
      <c r="D342" t="s">
        <v>1015</v>
      </c>
      <c r="E342" t="s">
        <v>127</v>
      </c>
      <c r="F342" t="s">
        <v>122</v>
      </c>
      <c r="G342" t="s">
        <v>107</v>
      </c>
      <c r="H342" t="s">
        <v>93</v>
      </c>
    </row>
    <row r="343" spans="1:8" x14ac:dyDescent="0.3">
      <c r="A343" t="s">
        <v>1016</v>
      </c>
      <c r="B343" t="s">
        <v>429</v>
      </c>
      <c r="C343" t="s">
        <v>70</v>
      </c>
      <c r="D343" t="s">
        <v>1017</v>
      </c>
      <c r="E343" t="s">
        <v>105</v>
      </c>
      <c r="F343" t="s">
        <v>113</v>
      </c>
      <c r="G343" t="s">
        <v>155</v>
      </c>
      <c r="H343" t="s">
        <v>74</v>
      </c>
    </row>
    <row r="344" spans="1:8" x14ac:dyDescent="0.3">
      <c r="A344" t="s">
        <v>1018</v>
      </c>
      <c r="B344" t="s">
        <v>227</v>
      </c>
      <c r="C344" t="s">
        <v>62</v>
      </c>
      <c r="D344" t="s">
        <v>1019</v>
      </c>
      <c r="E344" t="s">
        <v>118</v>
      </c>
      <c r="F344" t="s">
        <v>113</v>
      </c>
      <c r="G344" t="s">
        <v>107</v>
      </c>
      <c r="H344" t="s">
        <v>208</v>
      </c>
    </row>
    <row r="345" spans="1:8" x14ac:dyDescent="0.3">
      <c r="A345" t="s">
        <v>1020</v>
      </c>
      <c r="B345" t="s">
        <v>281</v>
      </c>
      <c r="C345" t="s">
        <v>54</v>
      </c>
      <c r="D345" t="s">
        <v>1021</v>
      </c>
      <c r="E345" t="s">
        <v>112</v>
      </c>
      <c r="F345" t="s">
        <v>106</v>
      </c>
      <c r="G345" t="s">
        <v>107</v>
      </c>
      <c r="H345" t="s">
        <v>508</v>
      </c>
    </row>
    <row r="346" spans="1:8" x14ac:dyDescent="0.3">
      <c r="A346" t="s">
        <v>1022</v>
      </c>
      <c r="B346" t="s">
        <v>281</v>
      </c>
      <c r="C346" t="s">
        <v>76</v>
      </c>
      <c r="D346" t="s">
        <v>1023</v>
      </c>
      <c r="E346" t="s">
        <v>112</v>
      </c>
      <c r="F346" t="s">
        <v>113</v>
      </c>
      <c r="G346" t="s">
        <v>107</v>
      </c>
      <c r="H346" t="s">
        <v>630</v>
      </c>
    </row>
    <row r="347" spans="1:8" x14ac:dyDescent="0.3">
      <c r="A347" t="s">
        <v>1024</v>
      </c>
      <c r="B347" t="s">
        <v>432</v>
      </c>
      <c r="C347" t="s">
        <v>76</v>
      </c>
      <c r="D347" t="s">
        <v>1025</v>
      </c>
      <c r="E347" t="s">
        <v>127</v>
      </c>
      <c r="F347" t="s">
        <v>106</v>
      </c>
      <c r="G347" t="s">
        <v>107</v>
      </c>
      <c r="H347" t="s">
        <v>8</v>
      </c>
    </row>
    <row r="348" spans="1:8" x14ac:dyDescent="0.3">
      <c r="A348" t="s">
        <v>1026</v>
      </c>
      <c r="B348" t="s">
        <v>901</v>
      </c>
      <c r="C348" t="s">
        <v>43</v>
      </c>
      <c r="D348" t="s">
        <v>1027</v>
      </c>
      <c r="E348" t="s">
        <v>127</v>
      </c>
      <c r="F348" t="s">
        <v>113</v>
      </c>
      <c r="G348" t="s">
        <v>107</v>
      </c>
      <c r="H348" t="s">
        <v>66</v>
      </c>
    </row>
    <row r="349" spans="1:8" x14ac:dyDescent="0.3">
      <c r="A349" t="s">
        <v>1028</v>
      </c>
      <c r="B349" t="s">
        <v>64</v>
      </c>
      <c r="C349" t="s">
        <v>50</v>
      </c>
      <c r="D349" t="s">
        <v>1029</v>
      </c>
      <c r="E349" t="s">
        <v>127</v>
      </c>
      <c r="F349" t="s">
        <v>106</v>
      </c>
      <c r="G349" t="s">
        <v>107</v>
      </c>
      <c r="H349" t="s">
        <v>222</v>
      </c>
    </row>
    <row r="350" spans="1:8" x14ac:dyDescent="0.3">
      <c r="A350" t="s">
        <v>1030</v>
      </c>
      <c r="B350" t="s">
        <v>417</v>
      </c>
      <c r="C350" t="s">
        <v>50</v>
      </c>
      <c r="D350" t="s">
        <v>1031</v>
      </c>
      <c r="E350" t="s">
        <v>145</v>
      </c>
      <c r="F350" t="s">
        <v>113</v>
      </c>
      <c r="G350" t="s">
        <v>107</v>
      </c>
      <c r="H350" t="s">
        <v>263</v>
      </c>
    </row>
    <row r="351" spans="1:8" x14ac:dyDescent="0.3">
      <c r="A351" t="s">
        <v>1032</v>
      </c>
      <c r="B351" t="s">
        <v>527</v>
      </c>
      <c r="C351" t="s">
        <v>46</v>
      </c>
      <c r="D351" t="s">
        <v>1033</v>
      </c>
      <c r="E351" t="s">
        <v>118</v>
      </c>
      <c r="F351" t="s">
        <v>113</v>
      </c>
      <c r="G351" t="s">
        <v>107</v>
      </c>
      <c r="H351" t="s">
        <v>756</v>
      </c>
    </row>
    <row r="352" spans="1:8" x14ac:dyDescent="0.3">
      <c r="A352" t="s">
        <v>1034</v>
      </c>
      <c r="B352" t="s">
        <v>60</v>
      </c>
      <c r="C352" t="s">
        <v>64</v>
      </c>
      <c r="D352" t="s">
        <v>1035</v>
      </c>
      <c r="E352" t="s">
        <v>145</v>
      </c>
      <c r="F352" t="s">
        <v>122</v>
      </c>
      <c r="G352" t="s">
        <v>107</v>
      </c>
      <c r="H352" t="s">
        <v>20</v>
      </c>
    </row>
    <row r="353" spans="1:8" x14ac:dyDescent="0.3">
      <c r="A353" t="s">
        <v>1036</v>
      </c>
      <c r="B353" t="s">
        <v>619</v>
      </c>
      <c r="C353" t="s">
        <v>84</v>
      </c>
      <c r="D353" t="s">
        <v>1037</v>
      </c>
      <c r="E353" t="s">
        <v>274</v>
      </c>
      <c r="F353" t="s">
        <v>113</v>
      </c>
      <c r="G353" t="s">
        <v>107</v>
      </c>
      <c r="H353" t="s">
        <v>84</v>
      </c>
    </row>
    <row r="354" spans="1:8" x14ac:dyDescent="0.3">
      <c r="A354" t="s">
        <v>1038</v>
      </c>
      <c r="B354" t="s">
        <v>337</v>
      </c>
      <c r="C354" t="s">
        <v>84</v>
      </c>
      <c r="D354" t="s">
        <v>1027</v>
      </c>
      <c r="E354" t="s">
        <v>227</v>
      </c>
      <c r="F354" t="s">
        <v>113</v>
      </c>
      <c r="G354" t="s">
        <v>107</v>
      </c>
      <c r="H354" t="s">
        <v>82</v>
      </c>
    </row>
    <row r="355" spans="1:8" x14ac:dyDescent="0.3">
      <c r="A355" t="s">
        <v>1039</v>
      </c>
      <c r="B355" t="s">
        <v>830</v>
      </c>
      <c r="C355" t="s">
        <v>25</v>
      </c>
      <c r="D355" t="s">
        <v>1040</v>
      </c>
      <c r="E355" t="s">
        <v>118</v>
      </c>
      <c r="F355" t="s">
        <v>122</v>
      </c>
      <c r="G355" t="s">
        <v>107</v>
      </c>
      <c r="H355" t="s">
        <v>43</v>
      </c>
    </row>
    <row r="356" spans="1:8" x14ac:dyDescent="0.3">
      <c r="A356" t="s">
        <v>1041</v>
      </c>
      <c r="B356" t="s">
        <v>587</v>
      </c>
      <c r="C356" t="s">
        <v>84</v>
      </c>
      <c r="D356" t="s">
        <v>1042</v>
      </c>
      <c r="E356" t="s">
        <v>227</v>
      </c>
      <c r="F356" t="s">
        <v>113</v>
      </c>
      <c r="G356" t="s">
        <v>107</v>
      </c>
      <c r="H356" t="s">
        <v>166</v>
      </c>
    </row>
    <row r="357" spans="1:8" x14ac:dyDescent="0.3">
      <c r="A357" t="s">
        <v>1043</v>
      </c>
      <c r="B357" t="s">
        <v>265</v>
      </c>
      <c r="C357" t="s">
        <v>78</v>
      </c>
      <c r="D357" t="s">
        <v>1044</v>
      </c>
      <c r="E357" t="s">
        <v>127</v>
      </c>
      <c r="F357" t="s">
        <v>113</v>
      </c>
      <c r="G357" t="s">
        <v>107</v>
      </c>
      <c r="H357" t="s">
        <v>137</v>
      </c>
    </row>
    <row r="358" spans="1:8" x14ac:dyDescent="0.3">
      <c r="A358" t="s">
        <v>1045</v>
      </c>
      <c r="B358" t="s">
        <v>52</v>
      </c>
      <c r="C358" t="s">
        <v>28</v>
      </c>
      <c r="D358" t="s">
        <v>1046</v>
      </c>
      <c r="E358" t="s">
        <v>127</v>
      </c>
      <c r="F358" t="s">
        <v>113</v>
      </c>
      <c r="G358" t="s">
        <v>107</v>
      </c>
      <c r="H358" t="s">
        <v>762</v>
      </c>
    </row>
    <row r="359" spans="1:8" x14ac:dyDescent="0.3">
      <c r="A359" t="s">
        <v>1047</v>
      </c>
      <c r="B359" t="s">
        <v>1048</v>
      </c>
      <c r="C359" t="s">
        <v>30</v>
      </c>
      <c r="D359" t="s">
        <v>1049</v>
      </c>
      <c r="E359" t="s">
        <v>112</v>
      </c>
      <c r="F359" t="s">
        <v>113</v>
      </c>
      <c r="G359" t="s">
        <v>107</v>
      </c>
      <c r="H359" t="s">
        <v>567</v>
      </c>
    </row>
    <row r="360" spans="1:8" x14ac:dyDescent="0.3">
      <c r="A360" t="s">
        <v>1050</v>
      </c>
      <c r="B360" t="s">
        <v>1051</v>
      </c>
      <c r="C360" t="s">
        <v>93</v>
      </c>
      <c r="D360" t="s">
        <v>1052</v>
      </c>
      <c r="E360" t="s">
        <v>227</v>
      </c>
      <c r="F360" t="s">
        <v>113</v>
      </c>
      <c r="G360" t="s">
        <v>198</v>
      </c>
      <c r="H360" t="s">
        <v>93</v>
      </c>
    </row>
    <row r="361" spans="1:8" x14ac:dyDescent="0.3">
      <c r="A361" t="s">
        <v>1053</v>
      </c>
      <c r="B361" t="s">
        <v>171</v>
      </c>
      <c r="C361" t="s">
        <v>89</v>
      </c>
      <c r="D361" t="s">
        <v>1054</v>
      </c>
      <c r="E361" t="s">
        <v>127</v>
      </c>
      <c r="F361" t="s">
        <v>122</v>
      </c>
      <c r="G361" t="s">
        <v>107</v>
      </c>
      <c r="H361" t="s">
        <v>341</v>
      </c>
    </row>
    <row r="362" spans="1:8" x14ac:dyDescent="0.3">
      <c r="A362" t="s">
        <v>1055</v>
      </c>
      <c r="B362" t="s">
        <v>1056</v>
      </c>
      <c r="C362" t="s">
        <v>87</v>
      </c>
      <c r="D362" t="s">
        <v>1057</v>
      </c>
      <c r="E362" t="s">
        <v>112</v>
      </c>
      <c r="F362" t="s">
        <v>113</v>
      </c>
      <c r="G362" t="s">
        <v>107</v>
      </c>
      <c r="H362" t="s">
        <v>89</v>
      </c>
    </row>
    <row r="363" spans="1:8" x14ac:dyDescent="0.3">
      <c r="A363" t="s">
        <v>1058</v>
      </c>
      <c r="B363" t="s">
        <v>168</v>
      </c>
      <c r="C363" t="s">
        <v>25</v>
      </c>
      <c r="D363" t="s">
        <v>1059</v>
      </c>
      <c r="E363" t="s">
        <v>105</v>
      </c>
      <c r="F363" t="s">
        <v>113</v>
      </c>
      <c r="G363" t="s">
        <v>107</v>
      </c>
      <c r="H363" t="s">
        <v>252</v>
      </c>
    </row>
    <row r="364" spans="1:8" x14ac:dyDescent="0.3">
      <c r="A364" t="s">
        <v>1060</v>
      </c>
      <c r="B364" t="s">
        <v>476</v>
      </c>
      <c r="C364" t="s">
        <v>8</v>
      </c>
      <c r="D364" t="s">
        <v>1061</v>
      </c>
      <c r="E364" t="s">
        <v>112</v>
      </c>
      <c r="F364" t="s">
        <v>122</v>
      </c>
      <c r="G364" t="s">
        <v>107</v>
      </c>
      <c r="H364" t="s">
        <v>228</v>
      </c>
    </row>
    <row r="365" spans="1:8" x14ac:dyDescent="0.3">
      <c r="A365" t="s">
        <v>1062</v>
      </c>
      <c r="B365" t="s">
        <v>765</v>
      </c>
      <c r="C365" t="s">
        <v>87</v>
      </c>
      <c r="D365" t="s">
        <v>1063</v>
      </c>
      <c r="E365" t="s">
        <v>105</v>
      </c>
      <c r="F365" t="s">
        <v>106</v>
      </c>
      <c r="G365" t="s">
        <v>107</v>
      </c>
      <c r="H365" t="s">
        <v>70</v>
      </c>
    </row>
    <row r="366" spans="1:8" x14ac:dyDescent="0.3">
      <c r="A366" t="s">
        <v>1064</v>
      </c>
      <c r="B366" t="s">
        <v>390</v>
      </c>
      <c r="C366" t="s">
        <v>32</v>
      </c>
      <c r="D366" t="s">
        <v>1065</v>
      </c>
      <c r="E366" t="s">
        <v>145</v>
      </c>
      <c r="F366" t="s">
        <v>113</v>
      </c>
      <c r="G366" t="s">
        <v>107</v>
      </c>
      <c r="H366" t="s">
        <v>679</v>
      </c>
    </row>
    <row r="367" spans="1:8" x14ac:dyDescent="0.3">
      <c r="A367" t="s">
        <v>1066</v>
      </c>
      <c r="B367" t="s">
        <v>1067</v>
      </c>
      <c r="C367" t="s">
        <v>30</v>
      </c>
      <c r="D367" t="s">
        <v>1068</v>
      </c>
      <c r="E367" t="s">
        <v>127</v>
      </c>
      <c r="F367" t="s">
        <v>113</v>
      </c>
      <c r="G367" t="s">
        <v>107</v>
      </c>
      <c r="H367" t="s">
        <v>316</v>
      </c>
    </row>
    <row r="368" spans="1:8" x14ac:dyDescent="0.3">
      <c r="A368" t="s">
        <v>1069</v>
      </c>
      <c r="B368" t="s">
        <v>356</v>
      </c>
      <c r="C368" t="s">
        <v>36</v>
      </c>
      <c r="D368" t="s">
        <v>1070</v>
      </c>
      <c r="E368" t="s">
        <v>227</v>
      </c>
      <c r="F368" t="s">
        <v>113</v>
      </c>
      <c r="G368" t="s">
        <v>107</v>
      </c>
      <c r="H368" t="s">
        <v>8</v>
      </c>
    </row>
    <row r="369" spans="1:8" x14ac:dyDescent="0.3">
      <c r="A369" t="s">
        <v>1071</v>
      </c>
      <c r="B369" t="s">
        <v>208</v>
      </c>
      <c r="C369" t="s">
        <v>66</v>
      </c>
      <c r="D369" t="s">
        <v>1072</v>
      </c>
      <c r="E369" t="s">
        <v>118</v>
      </c>
      <c r="F369" t="s">
        <v>122</v>
      </c>
      <c r="G369" t="s">
        <v>155</v>
      </c>
      <c r="H369" t="s">
        <v>556</v>
      </c>
    </row>
    <row r="370" spans="1:8" x14ac:dyDescent="0.3">
      <c r="A370" t="s">
        <v>1073</v>
      </c>
      <c r="B370" t="s">
        <v>1074</v>
      </c>
      <c r="C370" t="s">
        <v>74</v>
      </c>
      <c r="D370" t="s">
        <v>1075</v>
      </c>
      <c r="E370" t="s">
        <v>112</v>
      </c>
      <c r="F370" t="s">
        <v>113</v>
      </c>
      <c r="G370" t="s">
        <v>198</v>
      </c>
      <c r="H370" t="s">
        <v>981</v>
      </c>
    </row>
    <row r="371" spans="1:8" x14ac:dyDescent="0.3">
      <c r="A371" t="s">
        <v>1076</v>
      </c>
      <c r="B371" t="s">
        <v>592</v>
      </c>
      <c r="C371" t="s">
        <v>80</v>
      </c>
      <c r="D371" t="s">
        <v>1077</v>
      </c>
      <c r="E371" t="s">
        <v>220</v>
      </c>
      <c r="F371" t="s">
        <v>113</v>
      </c>
      <c r="G371" t="s">
        <v>107</v>
      </c>
      <c r="H371" t="s">
        <v>64</v>
      </c>
    </row>
    <row r="372" spans="1:8" x14ac:dyDescent="0.3">
      <c r="A372" t="s">
        <v>1078</v>
      </c>
      <c r="B372" t="s">
        <v>393</v>
      </c>
      <c r="C372" t="s">
        <v>80</v>
      </c>
      <c r="D372" t="s">
        <v>1079</v>
      </c>
      <c r="E372" t="s">
        <v>127</v>
      </c>
      <c r="F372" t="s">
        <v>113</v>
      </c>
      <c r="G372" t="s">
        <v>107</v>
      </c>
      <c r="H372" t="s">
        <v>809</v>
      </c>
    </row>
    <row r="373" spans="1:8" x14ac:dyDescent="0.3">
      <c r="A373" t="s">
        <v>1080</v>
      </c>
      <c r="B373" t="s">
        <v>1081</v>
      </c>
      <c r="C373" t="s">
        <v>56</v>
      </c>
      <c r="D373" t="s">
        <v>1082</v>
      </c>
      <c r="E373" t="s">
        <v>145</v>
      </c>
      <c r="F373" t="s">
        <v>106</v>
      </c>
      <c r="G373" t="s">
        <v>107</v>
      </c>
      <c r="H373" t="s">
        <v>527</v>
      </c>
    </row>
    <row r="374" spans="1:8" x14ac:dyDescent="0.3">
      <c r="A374" t="s">
        <v>1083</v>
      </c>
      <c r="B374" t="s">
        <v>1084</v>
      </c>
      <c r="C374" t="s">
        <v>46</v>
      </c>
      <c r="D374" t="s">
        <v>1085</v>
      </c>
      <c r="E374" t="s">
        <v>118</v>
      </c>
      <c r="F374" t="s">
        <v>113</v>
      </c>
      <c r="G374" t="s">
        <v>107</v>
      </c>
      <c r="H374" t="s">
        <v>208</v>
      </c>
    </row>
    <row r="375" spans="1:8" x14ac:dyDescent="0.3">
      <c r="A375" t="s">
        <v>1086</v>
      </c>
      <c r="B375" t="s">
        <v>1087</v>
      </c>
      <c r="C375" t="s">
        <v>84</v>
      </c>
      <c r="D375" t="s">
        <v>1088</v>
      </c>
      <c r="E375" t="s">
        <v>118</v>
      </c>
      <c r="F375" t="s">
        <v>122</v>
      </c>
      <c r="G375" t="s">
        <v>107</v>
      </c>
      <c r="H375" t="s">
        <v>89</v>
      </c>
    </row>
    <row r="376" spans="1:8" x14ac:dyDescent="0.3">
      <c r="A376" t="s">
        <v>1089</v>
      </c>
      <c r="B376" t="s">
        <v>435</v>
      </c>
      <c r="C376" t="s">
        <v>39</v>
      </c>
      <c r="D376" t="s">
        <v>1090</v>
      </c>
      <c r="E376" t="s">
        <v>140</v>
      </c>
      <c r="F376" t="s">
        <v>106</v>
      </c>
      <c r="G376" t="s">
        <v>107</v>
      </c>
      <c r="H376" t="s">
        <v>556</v>
      </c>
    </row>
    <row r="377" spans="1:8" x14ac:dyDescent="0.3">
      <c r="A377" t="s">
        <v>1091</v>
      </c>
      <c r="B377" t="s">
        <v>390</v>
      </c>
      <c r="C377" t="s">
        <v>58</v>
      </c>
      <c r="D377" t="s">
        <v>1092</v>
      </c>
      <c r="E377" t="s">
        <v>112</v>
      </c>
      <c r="F377" t="s">
        <v>113</v>
      </c>
      <c r="G377" t="s">
        <v>107</v>
      </c>
      <c r="H377" t="s">
        <v>592</v>
      </c>
    </row>
    <row r="378" spans="1:8" x14ac:dyDescent="0.3">
      <c r="A378" t="s">
        <v>1093</v>
      </c>
      <c r="B378" t="s">
        <v>435</v>
      </c>
      <c r="C378" t="s">
        <v>25</v>
      </c>
      <c r="D378" t="s">
        <v>1094</v>
      </c>
      <c r="E378" t="s">
        <v>127</v>
      </c>
      <c r="F378" t="s">
        <v>106</v>
      </c>
      <c r="G378" t="s">
        <v>107</v>
      </c>
      <c r="H378" t="s">
        <v>508</v>
      </c>
    </row>
    <row r="379" spans="1:8" x14ac:dyDescent="0.3">
      <c r="A379" t="s">
        <v>1095</v>
      </c>
      <c r="B379" t="s">
        <v>594</v>
      </c>
      <c r="C379" t="s">
        <v>58</v>
      </c>
      <c r="D379" t="s">
        <v>1096</v>
      </c>
      <c r="E379" t="s">
        <v>112</v>
      </c>
      <c r="F379" t="s">
        <v>113</v>
      </c>
      <c r="G379" t="s">
        <v>107</v>
      </c>
      <c r="H379" t="s">
        <v>238</v>
      </c>
    </row>
    <row r="380" spans="1:8" x14ac:dyDescent="0.3">
      <c r="A380" t="s">
        <v>1097</v>
      </c>
      <c r="B380" t="s">
        <v>56</v>
      </c>
      <c r="C380" t="s">
        <v>50</v>
      </c>
      <c r="D380" t="s">
        <v>1098</v>
      </c>
      <c r="E380" t="s">
        <v>112</v>
      </c>
      <c r="F380" t="s">
        <v>154</v>
      </c>
      <c r="G380" t="s">
        <v>107</v>
      </c>
      <c r="H380" t="s">
        <v>762</v>
      </c>
    </row>
    <row r="381" spans="1:8" x14ac:dyDescent="0.3">
      <c r="A381" t="s">
        <v>1099</v>
      </c>
      <c r="B381" t="s">
        <v>471</v>
      </c>
      <c r="C381" t="s">
        <v>46</v>
      </c>
      <c r="D381" t="s">
        <v>1100</v>
      </c>
      <c r="E381" t="s">
        <v>145</v>
      </c>
      <c r="F381" t="s">
        <v>106</v>
      </c>
      <c r="G381" t="s">
        <v>107</v>
      </c>
      <c r="H381" t="s">
        <v>367</v>
      </c>
    </row>
    <row r="382" spans="1:8" x14ac:dyDescent="0.3">
      <c r="A382" t="s">
        <v>1101</v>
      </c>
      <c r="B382" t="s">
        <v>164</v>
      </c>
      <c r="C382" t="s">
        <v>48</v>
      </c>
      <c r="D382" t="s">
        <v>1102</v>
      </c>
      <c r="E382" t="s">
        <v>227</v>
      </c>
      <c r="F382" t="s">
        <v>106</v>
      </c>
      <c r="G382" t="s">
        <v>107</v>
      </c>
      <c r="H382" t="s">
        <v>592</v>
      </c>
    </row>
    <row r="383" spans="1:8" x14ac:dyDescent="0.3">
      <c r="A383" t="s">
        <v>1103</v>
      </c>
      <c r="B383" t="s">
        <v>533</v>
      </c>
      <c r="C383" t="s">
        <v>93</v>
      </c>
      <c r="D383" t="s">
        <v>1104</v>
      </c>
      <c r="E383" t="s">
        <v>127</v>
      </c>
      <c r="F383" t="s">
        <v>154</v>
      </c>
      <c r="G383" t="s">
        <v>107</v>
      </c>
      <c r="H383" t="s">
        <v>981</v>
      </c>
    </row>
    <row r="384" spans="1:8" x14ac:dyDescent="0.3">
      <c r="A384" t="s">
        <v>1105</v>
      </c>
      <c r="B384" t="s">
        <v>64</v>
      </c>
      <c r="C384" t="s">
        <v>80</v>
      </c>
      <c r="D384" t="s">
        <v>1106</v>
      </c>
      <c r="E384" t="s">
        <v>220</v>
      </c>
      <c r="F384" t="s">
        <v>154</v>
      </c>
      <c r="G384" t="s">
        <v>107</v>
      </c>
      <c r="H384" t="s">
        <v>68</v>
      </c>
    </row>
    <row r="385" spans="1:8" x14ac:dyDescent="0.3">
      <c r="A385" t="s">
        <v>1107</v>
      </c>
      <c r="B385" t="s">
        <v>415</v>
      </c>
      <c r="C385" t="s">
        <v>66</v>
      </c>
      <c r="D385" t="s">
        <v>1108</v>
      </c>
      <c r="E385" t="s">
        <v>220</v>
      </c>
      <c r="F385" t="s">
        <v>154</v>
      </c>
      <c r="G385" t="s">
        <v>107</v>
      </c>
      <c r="H385" t="s">
        <v>146</v>
      </c>
    </row>
    <row r="386" spans="1:8" x14ac:dyDescent="0.3">
      <c r="A386" t="s">
        <v>1109</v>
      </c>
      <c r="B386" t="s">
        <v>1084</v>
      </c>
      <c r="C386" t="s">
        <v>28</v>
      </c>
      <c r="D386" t="s">
        <v>1110</v>
      </c>
      <c r="E386" t="s">
        <v>220</v>
      </c>
      <c r="F386" t="s">
        <v>106</v>
      </c>
      <c r="G386" t="s">
        <v>107</v>
      </c>
      <c r="H386" t="s">
        <v>496</v>
      </c>
    </row>
    <row r="387" spans="1:8" x14ac:dyDescent="0.3">
      <c r="A387" t="s">
        <v>1111</v>
      </c>
      <c r="B387" t="s">
        <v>1112</v>
      </c>
      <c r="C387" t="s">
        <v>74</v>
      </c>
      <c r="D387" t="s">
        <v>1113</v>
      </c>
      <c r="E387" t="s">
        <v>112</v>
      </c>
      <c r="F387" t="s">
        <v>154</v>
      </c>
      <c r="G387" t="s">
        <v>107</v>
      </c>
      <c r="H387" t="s">
        <v>259</v>
      </c>
    </row>
    <row r="388" spans="1:8" x14ac:dyDescent="0.3">
      <c r="A388" t="s">
        <v>1114</v>
      </c>
      <c r="B388" t="s">
        <v>435</v>
      </c>
      <c r="C388" t="s">
        <v>54</v>
      </c>
      <c r="D388" t="s">
        <v>1115</v>
      </c>
      <c r="E388" t="s">
        <v>112</v>
      </c>
      <c r="F388" t="s">
        <v>154</v>
      </c>
      <c r="G388" t="s">
        <v>107</v>
      </c>
      <c r="H388" t="s">
        <v>84</v>
      </c>
    </row>
    <row r="389" spans="1:8" x14ac:dyDescent="0.3">
      <c r="A389" t="s">
        <v>1116</v>
      </c>
      <c r="B389" t="s">
        <v>166</v>
      </c>
      <c r="C389" t="s">
        <v>87</v>
      </c>
      <c r="D389" t="s">
        <v>1117</v>
      </c>
      <c r="E389" t="s">
        <v>127</v>
      </c>
      <c r="F389" t="s">
        <v>106</v>
      </c>
      <c r="G389" t="s">
        <v>107</v>
      </c>
      <c r="H389" t="s">
        <v>70</v>
      </c>
    </row>
    <row r="390" spans="1:8" x14ac:dyDescent="0.3">
      <c r="A390" t="s">
        <v>1118</v>
      </c>
      <c r="B390" t="s">
        <v>52</v>
      </c>
      <c r="C390" t="s">
        <v>34</v>
      </c>
      <c r="D390" t="s">
        <v>1119</v>
      </c>
      <c r="E390" t="s">
        <v>140</v>
      </c>
      <c r="F390" t="s">
        <v>154</v>
      </c>
      <c r="G390" t="s">
        <v>107</v>
      </c>
      <c r="H390" t="s">
        <v>252</v>
      </c>
    </row>
    <row r="391" spans="1:8" x14ac:dyDescent="0.3">
      <c r="A391" t="s">
        <v>1120</v>
      </c>
      <c r="B391" t="s">
        <v>50</v>
      </c>
      <c r="C391" t="s">
        <v>64</v>
      </c>
      <c r="D391" t="s">
        <v>1121</v>
      </c>
      <c r="E391" t="s">
        <v>112</v>
      </c>
      <c r="F391" t="s">
        <v>113</v>
      </c>
      <c r="G391" t="s">
        <v>107</v>
      </c>
      <c r="H391" t="s">
        <v>123</v>
      </c>
    </row>
    <row r="392" spans="1:8" x14ac:dyDescent="0.3">
      <c r="A392" t="s">
        <v>1122</v>
      </c>
      <c r="B392" t="s">
        <v>227</v>
      </c>
      <c r="C392" t="s">
        <v>12</v>
      </c>
      <c r="D392" t="s">
        <v>1123</v>
      </c>
      <c r="E392" t="s">
        <v>274</v>
      </c>
      <c r="F392" t="s">
        <v>106</v>
      </c>
      <c r="G392" t="s">
        <v>107</v>
      </c>
      <c r="H392" t="s">
        <v>4</v>
      </c>
    </row>
    <row r="393" spans="1:8" x14ac:dyDescent="0.3">
      <c r="A393" t="s">
        <v>1124</v>
      </c>
      <c r="B393" t="s">
        <v>187</v>
      </c>
      <c r="C393" t="s">
        <v>56</v>
      </c>
      <c r="D393" t="s">
        <v>1125</v>
      </c>
      <c r="E393" t="s">
        <v>220</v>
      </c>
      <c r="F393" t="s">
        <v>113</v>
      </c>
      <c r="G393" t="s">
        <v>107</v>
      </c>
      <c r="H393" t="s">
        <v>84</v>
      </c>
    </row>
    <row r="394" spans="1:8" x14ac:dyDescent="0.3">
      <c r="A394" t="s">
        <v>1126</v>
      </c>
      <c r="B394" t="s">
        <v>791</v>
      </c>
      <c r="C394" t="s">
        <v>76</v>
      </c>
      <c r="D394" t="s">
        <v>1127</v>
      </c>
      <c r="E394" t="s">
        <v>112</v>
      </c>
      <c r="F394" t="s">
        <v>154</v>
      </c>
      <c r="G394" t="s">
        <v>107</v>
      </c>
      <c r="H394" t="s">
        <v>46</v>
      </c>
    </row>
    <row r="395" spans="1:8" x14ac:dyDescent="0.3">
      <c r="A395" t="s">
        <v>1128</v>
      </c>
      <c r="B395" t="s">
        <v>718</v>
      </c>
      <c r="C395" t="s">
        <v>36</v>
      </c>
      <c r="D395" t="s">
        <v>1129</v>
      </c>
      <c r="E395" t="s">
        <v>105</v>
      </c>
      <c r="F395" t="s">
        <v>113</v>
      </c>
      <c r="G395" t="s">
        <v>107</v>
      </c>
      <c r="H395" t="s">
        <v>39</v>
      </c>
    </row>
    <row r="396" spans="1:8" x14ac:dyDescent="0.3">
      <c r="A396" t="s">
        <v>1130</v>
      </c>
      <c r="B396" t="s">
        <v>901</v>
      </c>
      <c r="C396" t="s">
        <v>46</v>
      </c>
      <c r="D396" t="s">
        <v>1131</v>
      </c>
      <c r="E396" t="s">
        <v>105</v>
      </c>
      <c r="F396" t="s">
        <v>113</v>
      </c>
      <c r="G396" t="s">
        <v>107</v>
      </c>
      <c r="H396" t="s">
        <v>762</v>
      </c>
    </row>
    <row r="397" spans="1:8" x14ac:dyDescent="0.3">
      <c r="A397" t="s">
        <v>1132</v>
      </c>
      <c r="B397" t="s">
        <v>1133</v>
      </c>
      <c r="C397" t="s">
        <v>50</v>
      </c>
      <c r="D397" t="s">
        <v>1134</v>
      </c>
      <c r="E397" t="s">
        <v>220</v>
      </c>
      <c r="F397" t="s">
        <v>113</v>
      </c>
      <c r="G397" t="s">
        <v>155</v>
      </c>
      <c r="H397" t="s">
        <v>301</v>
      </c>
    </row>
    <row r="398" spans="1:8" x14ac:dyDescent="0.3">
      <c r="A398" t="s">
        <v>1135</v>
      </c>
      <c r="B398" t="s">
        <v>830</v>
      </c>
      <c r="C398" t="s">
        <v>64</v>
      </c>
      <c r="D398" t="s">
        <v>1136</v>
      </c>
      <c r="E398" t="s">
        <v>220</v>
      </c>
      <c r="F398" t="s">
        <v>113</v>
      </c>
      <c r="G398" t="s">
        <v>107</v>
      </c>
      <c r="H398" t="s">
        <v>688</v>
      </c>
    </row>
    <row r="399" spans="1:8" x14ac:dyDescent="0.3">
      <c r="A399" t="s">
        <v>1137</v>
      </c>
      <c r="B399" t="s">
        <v>1138</v>
      </c>
      <c r="C399" t="s">
        <v>23</v>
      </c>
      <c r="D399" t="s">
        <v>1139</v>
      </c>
      <c r="E399" t="s">
        <v>227</v>
      </c>
      <c r="F399" t="s">
        <v>106</v>
      </c>
      <c r="G399" t="s">
        <v>107</v>
      </c>
      <c r="H399" t="s">
        <v>58</v>
      </c>
    </row>
    <row r="400" spans="1:8" x14ac:dyDescent="0.3">
      <c r="A400" t="s">
        <v>1140</v>
      </c>
      <c r="B400" t="s">
        <v>1141</v>
      </c>
      <c r="C400" t="s">
        <v>4</v>
      </c>
      <c r="D400" t="s">
        <v>1142</v>
      </c>
      <c r="E400" t="s">
        <v>118</v>
      </c>
      <c r="F400" t="s">
        <v>122</v>
      </c>
      <c r="G400" t="s">
        <v>107</v>
      </c>
      <c r="H400" t="s">
        <v>78</v>
      </c>
    </row>
    <row r="401" spans="1:8" x14ac:dyDescent="0.3">
      <c r="A401" t="s">
        <v>1143</v>
      </c>
      <c r="B401" t="s">
        <v>429</v>
      </c>
      <c r="C401" t="s">
        <v>56</v>
      </c>
      <c r="D401" t="s">
        <v>1144</v>
      </c>
      <c r="E401" t="s">
        <v>140</v>
      </c>
      <c r="F401" t="s">
        <v>113</v>
      </c>
      <c r="G401" t="s">
        <v>155</v>
      </c>
      <c r="H401" t="s">
        <v>89</v>
      </c>
    </row>
    <row r="402" spans="1:8" x14ac:dyDescent="0.3">
      <c r="A402" t="s">
        <v>1145</v>
      </c>
      <c r="B402" t="s">
        <v>20</v>
      </c>
      <c r="C402" t="s">
        <v>46</v>
      </c>
      <c r="D402" t="s">
        <v>1146</v>
      </c>
      <c r="E402" t="s">
        <v>112</v>
      </c>
      <c r="F402" t="s">
        <v>113</v>
      </c>
      <c r="G402" t="s">
        <v>107</v>
      </c>
      <c r="H402" t="s">
        <v>519</v>
      </c>
    </row>
    <row r="403" spans="1:8" x14ac:dyDescent="0.3">
      <c r="A403" t="s">
        <v>1147</v>
      </c>
      <c r="B403" t="s">
        <v>76</v>
      </c>
      <c r="C403" t="s">
        <v>25</v>
      </c>
      <c r="D403" t="s">
        <v>1148</v>
      </c>
      <c r="E403" t="s">
        <v>145</v>
      </c>
      <c r="F403" t="s">
        <v>154</v>
      </c>
      <c r="G403" t="s">
        <v>107</v>
      </c>
      <c r="H403" t="s">
        <v>191</v>
      </c>
    </row>
    <row r="404" spans="1:8" x14ac:dyDescent="0.3">
      <c r="A404" t="s">
        <v>1149</v>
      </c>
      <c r="B404" t="s">
        <v>648</v>
      </c>
      <c r="C404" t="s">
        <v>52</v>
      </c>
      <c r="D404" t="s">
        <v>1150</v>
      </c>
      <c r="E404" t="s">
        <v>227</v>
      </c>
      <c r="F404" t="s">
        <v>113</v>
      </c>
      <c r="G404" t="s">
        <v>107</v>
      </c>
      <c r="H404" t="s">
        <v>556</v>
      </c>
    </row>
    <row r="405" spans="1:8" x14ac:dyDescent="0.3">
      <c r="A405" t="s">
        <v>1151</v>
      </c>
      <c r="B405" t="s">
        <v>563</v>
      </c>
      <c r="C405" t="s">
        <v>60</v>
      </c>
      <c r="D405" t="s">
        <v>1152</v>
      </c>
      <c r="E405" t="s">
        <v>227</v>
      </c>
      <c r="F405" t="s">
        <v>113</v>
      </c>
      <c r="G405" t="s">
        <v>198</v>
      </c>
      <c r="H405" t="s">
        <v>208</v>
      </c>
    </row>
    <row r="406" spans="1:8" x14ac:dyDescent="0.3">
      <c r="A406" t="s">
        <v>1153</v>
      </c>
      <c r="B406" t="s">
        <v>393</v>
      </c>
      <c r="C406" t="s">
        <v>30</v>
      </c>
      <c r="D406" t="s">
        <v>1154</v>
      </c>
      <c r="E406" t="s">
        <v>140</v>
      </c>
      <c r="F406" t="s">
        <v>106</v>
      </c>
      <c r="G406" t="s">
        <v>107</v>
      </c>
      <c r="H406" t="s">
        <v>463</v>
      </c>
    </row>
    <row r="407" spans="1:8" x14ac:dyDescent="0.3">
      <c r="A407" t="s">
        <v>1155</v>
      </c>
      <c r="B407" t="s">
        <v>210</v>
      </c>
      <c r="C407" t="s">
        <v>84</v>
      </c>
      <c r="D407" t="s">
        <v>1156</v>
      </c>
      <c r="E407" t="s">
        <v>112</v>
      </c>
      <c r="F407" t="s">
        <v>106</v>
      </c>
      <c r="G407" t="s">
        <v>107</v>
      </c>
      <c r="H407" t="s">
        <v>131</v>
      </c>
    </row>
    <row r="408" spans="1:8" x14ac:dyDescent="0.3">
      <c r="A408" t="s">
        <v>1157</v>
      </c>
      <c r="B408" t="s">
        <v>178</v>
      </c>
      <c r="C408" t="s">
        <v>39</v>
      </c>
      <c r="D408" t="s">
        <v>1158</v>
      </c>
      <c r="E408" t="s">
        <v>127</v>
      </c>
      <c r="F408" t="s">
        <v>122</v>
      </c>
      <c r="G408" t="s">
        <v>107</v>
      </c>
      <c r="H408" t="s">
        <v>506</v>
      </c>
    </row>
    <row r="409" spans="1:8" x14ac:dyDescent="0.3">
      <c r="A409" t="s">
        <v>1159</v>
      </c>
      <c r="B409" t="s">
        <v>152</v>
      </c>
      <c r="C409" t="s">
        <v>20</v>
      </c>
      <c r="D409" t="s">
        <v>1160</v>
      </c>
      <c r="E409" t="s">
        <v>227</v>
      </c>
      <c r="F409" t="s">
        <v>122</v>
      </c>
      <c r="G409" t="s">
        <v>107</v>
      </c>
      <c r="H409" t="s">
        <v>679</v>
      </c>
    </row>
    <row r="410" spans="1:8" x14ac:dyDescent="0.3">
      <c r="A410" t="s">
        <v>1161</v>
      </c>
      <c r="B410" t="s">
        <v>619</v>
      </c>
      <c r="C410" t="s">
        <v>17</v>
      </c>
      <c r="D410" t="s">
        <v>1162</v>
      </c>
      <c r="E410" t="s">
        <v>220</v>
      </c>
      <c r="F410" t="s">
        <v>113</v>
      </c>
      <c r="G410" t="s">
        <v>107</v>
      </c>
      <c r="H410" t="s">
        <v>301</v>
      </c>
    </row>
    <row r="411" spans="1:8" x14ac:dyDescent="0.3">
      <c r="A411" t="s">
        <v>1163</v>
      </c>
      <c r="B411" t="s">
        <v>1164</v>
      </c>
      <c r="C411" t="s">
        <v>78</v>
      </c>
      <c r="D411" t="s">
        <v>1165</v>
      </c>
      <c r="E411" t="s">
        <v>274</v>
      </c>
      <c r="F411" t="s">
        <v>113</v>
      </c>
      <c r="G411" t="s">
        <v>107</v>
      </c>
      <c r="H411" t="s">
        <v>62</v>
      </c>
    </row>
    <row r="412" spans="1:8" x14ac:dyDescent="0.3">
      <c r="A412" t="s">
        <v>1166</v>
      </c>
      <c r="B412" t="s">
        <v>108</v>
      </c>
      <c r="C412" t="s">
        <v>54</v>
      </c>
      <c r="D412" t="s">
        <v>1167</v>
      </c>
      <c r="E412" t="s">
        <v>127</v>
      </c>
      <c r="F412" t="s">
        <v>113</v>
      </c>
      <c r="G412" t="s">
        <v>107</v>
      </c>
      <c r="H412" t="s">
        <v>811</v>
      </c>
    </row>
    <row r="413" spans="1:8" x14ac:dyDescent="0.3">
      <c r="A413" t="s">
        <v>1168</v>
      </c>
      <c r="B413" t="s">
        <v>1169</v>
      </c>
      <c r="C413" t="s">
        <v>89</v>
      </c>
      <c r="D413" t="s">
        <v>1170</v>
      </c>
      <c r="E413" t="s">
        <v>220</v>
      </c>
      <c r="F413" t="s">
        <v>113</v>
      </c>
      <c r="G413" t="s">
        <v>107</v>
      </c>
      <c r="H413" t="s">
        <v>267</v>
      </c>
    </row>
    <row r="414" spans="1:8" x14ac:dyDescent="0.3">
      <c r="A414" t="s">
        <v>1171</v>
      </c>
      <c r="B414" t="s">
        <v>70</v>
      </c>
      <c r="C414" t="s">
        <v>72</v>
      </c>
      <c r="D414" t="s">
        <v>1172</v>
      </c>
      <c r="E414" t="s">
        <v>227</v>
      </c>
      <c r="F414" t="s">
        <v>122</v>
      </c>
      <c r="G414" t="s">
        <v>107</v>
      </c>
      <c r="H414" t="s">
        <v>43</v>
      </c>
    </row>
    <row r="415" spans="1:8" x14ac:dyDescent="0.3">
      <c r="A415" t="s">
        <v>1173</v>
      </c>
      <c r="B415" t="s">
        <v>996</v>
      </c>
      <c r="C415" t="s">
        <v>15</v>
      </c>
      <c r="D415" t="s">
        <v>1174</v>
      </c>
      <c r="E415" t="s">
        <v>118</v>
      </c>
      <c r="F415" t="s">
        <v>154</v>
      </c>
      <c r="G415" t="s">
        <v>107</v>
      </c>
      <c r="H415" t="s">
        <v>592</v>
      </c>
    </row>
    <row r="416" spans="1:8" x14ac:dyDescent="0.3">
      <c r="A416" t="s">
        <v>1175</v>
      </c>
      <c r="B416" t="s">
        <v>432</v>
      </c>
      <c r="C416" t="s">
        <v>8</v>
      </c>
      <c r="D416" t="s">
        <v>1176</v>
      </c>
      <c r="E416" t="s">
        <v>118</v>
      </c>
      <c r="F416" t="s">
        <v>154</v>
      </c>
      <c r="G416" t="s">
        <v>107</v>
      </c>
      <c r="H416" t="s">
        <v>278</v>
      </c>
    </row>
    <row r="417" spans="1:8" x14ac:dyDescent="0.3">
      <c r="A417" t="s">
        <v>1177</v>
      </c>
      <c r="B417" t="s">
        <v>1178</v>
      </c>
      <c r="C417" t="s">
        <v>89</v>
      </c>
      <c r="D417" t="s">
        <v>1179</v>
      </c>
      <c r="E417" t="s">
        <v>112</v>
      </c>
      <c r="F417" t="s">
        <v>113</v>
      </c>
      <c r="G417" t="s">
        <v>107</v>
      </c>
      <c r="H417" t="s">
        <v>28</v>
      </c>
    </row>
    <row r="418" spans="1:8" x14ac:dyDescent="0.3">
      <c r="A418" t="s">
        <v>1180</v>
      </c>
      <c r="B418" t="s">
        <v>78</v>
      </c>
      <c r="C418" t="s">
        <v>82</v>
      </c>
      <c r="D418" t="s">
        <v>1181</v>
      </c>
      <c r="E418" t="s">
        <v>145</v>
      </c>
      <c r="F418" t="s">
        <v>154</v>
      </c>
      <c r="G418" t="s">
        <v>155</v>
      </c>
      <c r="H418" t="s">
        <v>23</v>
      </c>
    </row>
    <row r="419" spans="1:8" x14ac:dyDescent="0.3">
      <c r="A419" t="s">
        <v>1182</v>
      </c>
      <c r="B419" t="s">
        <v>859</v>
      </c>
      <c r="C419" t="s">
        <v>12</v>
      </c>
      <c r="D419" t="s">
        <v>1183</v>
      </c>
      <c r="E419" t="s">
        <v>112</v>
      </c>
      <c r="F419" t="s">
        <v>113</v>
      </c>
      <c r="G419" t="s">
        <v>107</v>
      </c>
      <c r="H419" t="s">
        <v>84</v>
      </c>
    </row>
    <row r="420" spans="1:8" x14ac:dyDescent="0.3">
      <c r="A420" t="s">
        <v>1184</v>
      </c>
      <c r="B420" t="s">
        <v>176</v>
      </c>
      <c r="C420" t="s">
        <v>66</v>
      </c>
      <c r="D420" t="s">
        <v>1185</v>
      </c>
      <c r="E420" t="s">
        <v>227</v>
      </c>
      <c r="F420" t="s">
        <v>113</v>
      </c>
      <c r="G420" t="s">
        <v>107</v>
      </c>
      <c r="H420" t="s">
        <v>363</v>
      </c>
    </row>
    <row r="421" spans="1:8" x14ac:dyDescent="0.3">
      <c r="A421" t="s">
        <v>1186</v>
      </c>
      <c r="B421" t="s">
        <v>1187</v>
      </c>
      <c r="C421" t="s">
        <v>62</v>
      </c>
      <c r="D421" t="s">
        <v>1188</v>
      </c>
      <c r="E421" t="s">
        <v>112</v>
      </c>
      <c r="F421" t="s">
        <v>106</v>
      </c>
      <c r="G421" t="s">
        <v>107</v>
      </c>
      <c r="H421" t="s">
        <v>30</v>
      </c>
    </row>
    <row r="422" spans="1:8" x14ac:dyDescent="0.3">
      <c r="A422" t="s">
        <v>1189</v>
      </c>
      <c r="B422" t="s">
        <v>245</v>
      </c>
      <c r="C422" t="s">
        <v>28</v>
      </c>
      <c r="D422" t="s">
        <v>1190</v>
      </c>
      <c r="E422" t="s">
        <v>140</v>
      </c>
      <c r="F422" t="s">
        <v>113</v>
      </c>
      <c r="G422" t="s">
        <v>107</v>
      </c>
      <c r="H422" t="s">
        <v>519</v>
      </c>
    </row>
    <row r="423" spans="1:8" x14ac:dyDescent="0.3">
      <c r="A423" t="s">
        <v>1191</v>
      </c>
      <c r="B423" t="s">
        <v>120</v>
      </c>
      <c r="C423" t="s">
        <v>82</v>
      </c>
      <c r="D423" t="s">
        <v>1192</v>
      </c>
      <c r="E423" t="s">
        <v>112</v>
      </c>
      <c r="F423" t="s">
        <v>113</v>
      </c>
      <c r="G423" t="s">
        <v>107</v>
      </c>
      <c r="H423" t="s">
        <v>278</v>
      </c>
    </row>
    <row r="424" spans="1:8" x14ac:dyDescent="0.3">
      <c r="A424" t="s">
        <v>1193</v>
      </c>
      <c r="B424" t="s">
        <v>1194</v>
      </c>
      <c r="C424" t="s">
        <v>4</v>
      </c>
      <c r="D424" t="s">
        <v>1195</v>
      </c>
      <c r="E424" t="s">
        <v>227</v>
      </c>
      <c r="F424" t="s">
        <v>106</v>
      </c>
      <c r="G424" t="s">
        <v>107</v>
      </c>
      <c r="H424" t="s">
        <v>296</v>
      </c>
    </row>
    <row r="425" spans="1:8" x14ac:dyDescent="0.3">
      <c r="A425" t="s">
        <v>1196</v>
      </c>
      <c r="B425" t="s">
        <v>1197</v>
      </c>
      <c r="C425" t="s">
        <v>82</v>
      </c>
      <c r="D425" t="s">
        <v>1198</v>
      </c>
      <c r="E425" t="s">
        <v>220</v>
      </c>
      <c r="F425" t="s">
        <v>154</v>
      </c>
      <c r="G425" t="s">
        <v>107</v>
      </c>
      <c r="H425" t="s">
        <v>688</v>
      </c>
    </row>
    <row r="426" spans="1:8" x14ac:dyDescent="0.3">
      <c r="A426" t="s">
        <v>1199</v>
      </c>
      <c r="B426" t="s">
        <v>1200</v>
      </c>
      <c r="C426" t="s">
        <v>43</v>
      </c>
      <c r="D426" t="s">
        <v>1201</v>
      </c>
      <c r="E426" t="s">
        <v>112</v>
      </c>
      <c r="F426" t="s">
        <v>113</v>
      </c>
      <c r="G426" t="s">
        <v>107</v>
      </c>
      <c r="H426" t="s">
        <v>463</v>
      </c>
    </row>
    <row r="427" spans="1:8" x14ac:dyDescent="0.3">
      <c r="A427" t="s">
        <v>1202</v>
      </c>
      <c r="B427" t="s">
        <v>506</v>
      </c>
      <c r="C427" t="s">
        <v>25</v>
      </c>
      <c r="D427" t="s">
        <v>1203</v>
      </c>
      <c r="E427" t="s">
        <v>127</v>
      </c>
      <c r="F427" t="s">
        <v>122</v>
      </c>
      <c r="G427" t="s">
        <v>107</v>
      </c>
      <c r="H427" t="s">
        <v>15</v>
      </c>
    </row>
    <row r="428" spans="1:8" x14ac:dyDescent="0.3">
      <c r="A428" t="s">
        <v>1204</v>
      </c>
      <c r="B428" t="s">
        <v>1205</v>
      </c>
      <c r="C428" t="s">
        <v>8</v>
      </c>
      <c r="D428" t="s">
        <v>1206</v>
      </c>
      <c r="E428" t="s">
        <v>145</v>
      </c>
      <c r="F428" t="s">
        <v>106</v>
      </c>
      <c r="G428" t="s">
        <v>107</v>
      </c>
      <c r="H428" t="s">
        <v>72</v>
      </c>
    </row>
    <row r="429" spans="1:8" x14ac:dyDescent="0.3">
      <c r="A429" t="s">
        <v>1207</v>
      </c>
      <c r="B429" t="s">
        <v>779</v>
      </c>
      <c r="C429" t="s">
        <v>12</v>
      </c>
      <c r="D429" t="s">
        <v>1208</v>
      </c>
      <c r="E429" t="s">
        <v>145</v>
      </c>
      <c r="F429" t="s">
        <v>113</v>
      </c>
      <c r="G429" t="s">
        <v>107</v>
      </c>
      <c r="H429" t="s">
        <v>356</v>
      </c>
    </row>
    <row r="430" spans="1:8" x14ac:dyDescent="0.3">
      <c r="A430" t="s">
        <v>1209</v>
      </c>
      <c r="B430" t="s">
        <v>62</v>
      </c>
      <c r="C430" t="s">
        <v>43</v>
      </c>
      <c r="D430" t="s">
        <v>1210</v>
      </c>
      <c r="E430" t="s">
        <v>145</v>
      </c>
      <c r="F430" t="s">
        <v>113</v>
      </c>
      <c r="G430" t="s">
        <v>107</v>
      </c>
      <c r="H430" t="s">
        <v>981</v>
      </c>
    </row>
    <row r="431" spans="1:8" x14ac:dyDescent="0.3">
      <c r="A431" t="s">
        <v>1211</v>
      </c>
      <c r="B431" t="s">
        <v>1212</v>
      </c>
      <c r="C431" t="s">
        <v>82</v>
      </c>
      <c r="D431" t="s">
        <v>1213</v>
      </c>
      <c r="E431" t="s">
        <v>112</v>
      </c>
      <c r="F431" t="s">
        <v>113</v>
      </c>
      <c r="G431" t="s">
        <v>107</v>
      </c>
      <c r="H431" t="s">
        <v>66</v>
      </c>
    </row>
    <row r="432" spans="1:8" x14ac:dyDescent="0.3">
      <c r="A432" t="s">
        <v>1214</v>
      </c>
      <c r="B432" t="s">
        <v>648</v>
      </c>
      <c r="C432" t="s">
        <v>50</v>
      </c>
      <c r="D432" t="s">
        <v>1215</v>
      </c>
      <c r="E432" t="s">
        <v>112</v>
      </c>
      <c r="F432" t="s">
        <v>106</v>
      </c>
      <c r="G432" t="s">
        <v>107</v>
      </c>
      <c r="H432" t="s">
        <v>70</v>
      </c>
    </row>
    <row r="433" spans="1:8" x14ac:dyDescent="0.3">
      <c r="A433" t="s">
        <v>1216</v>
      </c>
      <c r="B433" t="s">
        <v>959</v>
      </c>
      <c r="C433" t="s">
        <v>87</v>
      </c>
      <c r="D433" t="s">
        <v>1217</v>
      </c>
      <c r="E433" t="s">
        <v>140</v>
      </c>
      <c r="F433" t="s">
        <v>113</v>
      </c>
      <c r="G433" t="s">
        <v>107</v>
      </c>
      <c r="H433" t="s">
        <v>228</v>
      </c>
    </row>
    <row r="434" spans="1:8" x14ac:dyDescent="0.3">
      <c r="A434" t="s">
        <v>1218</v>
      </c>
      <c r="B434" t="s">
        <v>1219</v>
      </c>
      <c r="C434" t="s">
        <v>43</v>
      </c>
      <c r="D434" t="s">
        <v>1220</v>
      </c>
      <c r="E434" t="s">
        <v>112</v>
      </c>
      <c r="F434" t="s">
        <v>106</v>
      </c>
      <c r="G434" t="s">
        <v>107</v>
      </c>
      <c r="H434" t="s">
        <v>89</v>
      </c>
    </row>
    <row r="435" spans="1:8" x14ac:dyDescent="0.3">
      <c r="A435" t="s">
        <v>1221</v>
      </c>
      <c r="B435" t="s">
        <v>1222</v>
      </c>
      <c r="C435" t="s">
        <v>41</v>
      </c>
      <c r="D435" t="s">
        <v>1223</v>
      </c>
      <c r="E435" t="s">
        <v>112</v>
      </c>
      <c r="F435" t="s">
        <v>122</v>
      </c>
      <c r="G435" t="s">
        <v>107</v>
      </c>
      <c r="H435" t="s">
        <v>415</v>
      </c>
    </row>
    <row r="436" spans="1:8" x14ac:dyDescent="0.3">
      <c r="A436" t="s">
        <v>1224</v>
      </c>
      <c r="B436" t="s">
        <v>1225</v>
      </c>
      <c r="C436" t="s">
        <v>89</v>
      </c>
      <c r="D436" t="s">
        <v>1226</v>
      </c>
      <c r="E436" t="s">
        <v>145</v>
      </c>
      <c r="F436" t="s">
        <v>106</v>
      </c>
      <c r="G436" t="s">
        <v>107</v>
      </c>
      <c r="H436" t="s">
        <v>981</v>
      </c>
    </row>
    <row r="437" spans="1:8" x14ac:dyDescent="0.3">
      <c r="A437" t="s">
        <v>1227</v>
      </c>
      <c r="B437" t="s">
        <v>143</v>
      </c>
      <c r="C437" t="s">
        <v>68</v>
      </c>
      <c r="D437" t="s">
        <v>1228</v>
      </c>
      <c r="E437" t="s">
        <v>220</v>
      </c>
      <c r="F437" t="s">
        <v>154</v>
      </c>
      <c r="G437" t="s">
        <v>107</v>
      </c>
      <c r="H437" t="s">
        <v>592</v>
      </c>
    </row>
    <row r="438" spans="1:8" x14ac:dyDescent="0.3">
      <c r="A438" t="s">
        <v>1229</v>
      </c>
      <c r="B438" t="s">
        <v>896</v>
      </c>
      <c r="C438" t="s">
        <v>62</v>
      </c>
      <c r="D438" t="s">
        <v>1230</v>
      </c>
      <c r="E438" t="s">
        <v>140</v>
      </c>
      <c r="F438" t="s">
        <v>113</v>
      </c>
      <c r="G438" t="s">
        <v>107</v>
      </c>
      <c r="H438" t="s">
        <v>123</v>
      </c>
    </row>
    <row r="439" spans="1:8" x14ac:dyDescent="0.3">
      <c r="A439" t="s">
        <v>1231</v>
      </c>
      <c r="B439" t="s">
        <v>1232</v>
      </c>
      <c r="C439" t="s">
        <v>66</v>
      </c>
      <c r="D439" t="s">
        <v>1233</v>
      </c>
      <c r="E439" t="s">
        <v>145</v>
      </c>
      <c r="F439" t="s">
        <v>154</v>
      </c>
      <c r="G439" t="s">
        <v>107</v>
      </c>
      <c r="H439" t="s">
        <v>50</v>
      </c>
    </row>
    <row r="440" spans="1:8" x14ac:dyDescent="0.3">
      <c r="A440" t="s">
        <v>1234</v>
      </c>
      <c r="B440" t="s">
        <v>164</v>
      </c>
      <c r="C440" t="s">
        <v>74</v>
      </c>
      <c r="D440" t="s">
        <v>1235</v>
      </c>
      <c r="E440" t="s">
        <v>220</v>
      </c>
      <c r="F440" t="s">
        <v>113</v>
      </c>
      <c r="G440" t="s">
        <v>107</v>
      </c>
      <c r="H440" t="s">
        <v>72</v>
      </c>
    </row>
    <row r="441" spans="1:8" x14ac:dyDescent="0.3">
      <c r="A441" t="s">
        <v>1236</v>
      </c>
      <c r="B441" t="s">
        <v>150</v>
      </c>
      <c r="C441" t="s">
        <v>72</v>
      </c>
      <c r="D441" t="s">
        <v>1237</v>
      </c>
      <c r="E441" t="s">
        <v>112</v>
      </c>
      <c r="F441" t="s">
        <v>113</v>
      </c>
      <c r="G441" t="s">
        <v>107</v>
      </c>
      <c r="H441" t="s">
        <v>23</v>
      </c>
    </row>
    <row r="442" spans="1:8" x14ac:dyDescent="0.3">
      <c r="A442" t="s">
        <v>1238</v>
      </c>
      <c r="B442" t="s">
        <v>1225</v>
      </c>
      <c r="C442" t="s">
        <v>80</v>
      </c>
      <c r="D442" t="s">
        <v>1239</v>
      </c>
      <c r="E442" t="s">
        <v>112</v>
      </c>
      <c r="F442" t="s">
        <v>154</v>
      </c>
      <c r="G442" t="s">
        <v>107</v>
      </c>
      <c r="H442" t="s">
        <v>46</v>
      </c>
    </row>
    <row r="443" spans="1:8" x14ac:dyDescent="0.3">
      <c r="A443" t="s">
        <v>1240</v>
      </c>
      <c r="B443" t="s">
        <v>1241</v>
      </c>
      <c r="C443" t="s">
        <v>56</v>
      </c>
      <c r="D443" t="s">
        <v>1242</v>
      </c>
      <c r="E443" t="s">
        <v>274</v>
      </c>
      <c r="F443" t="s">
        <v>113</v>
      </c>
      <c r="G443" t="s">
        <v>107</v>
      </c>
      <c r="H443" t="s">
        <v>281</v>
      </c>
    </row>
    <row r="444" spans="1:8" x14ac:dyDescent="0.3">
      <c r="A444" t="s">
        <v>1243</v>
      </c>
      <c r="B444" t="s">
        <v>321</v>
      </c>
      <c r="C444" t="s">
        <v>20</v>
      </c>
      <c r="D444" t="s">
        <v>1244</v>
      </c>
      <c r="E444" t="s">
        <v>140</v>
      </c>
      <c r="F444" t="s">
        <v>106</v>
      </c>
      <c r="G444" t="s">
        <v>107</v>
      </c>
      <c r="H444" t="s">
        <v>263</v>
      </c>
    </row>
    <row r="445" spans="1:8" x14ac:dyDescent="0.3">
      <c r="A445" t="s">
        <v>1245</v>
      </c>
      <c r="B445" t="s">
        <v>334</v>
      </c>
      <c r="C445" t="s">
        <v>62</v>
      </c>
      <c r="D445" t="s">
        <v>1246</v>
      </c>
      <c r="E445" t="s">
        <v>145</v>
      </c>
      <c r="F445" t="s">
        <v>106</v>
      </c>
      <c r="G445" t="s">
        <v>107</v>
      </c>
      <c r="H445" t="s">
        <v>180</v>
      </c>
    </row>
    <row r="446" spans="1:8" x14ac:dyDescent="0.3">
      <c r="A446" t="s">
        <v>1247</v>
      </c>
      <c r="B446" t="s">
        <v>89</v>
      </c>
      <c r="C446" t="s">
        <v>36</v>
      </c>
      <c r="D446" t="s">
        <v>1248</v>
      </c>
      <c r="E446" t="s">
        <v>274</v>
      </c>
      <c r="F446" t="s">
        <v>122</v>
      </c>
      <c r="G446" t="s">
        <v>107</v>
      </c>
      <c r="H446" t="s">
        <v>506</v>
      </c>
    </row>
    <row r="447" spans="1:8" x14ac:dyDescent="0.3">
      <c r="A447" t="s">
        <v>1249</v>
      </c>
      <c r="B447" t="s">
        <v>110</v>
      </c>
      <c r="C447" t="s">
        <v>39</v>
      </c>
      <c r="D447" t="s">
        <v>1250</v>
      </c>
      <c r="E447" t="s">
        <v>127</v>
      </c>
      <c r="F447" t="s">
        <v>106</v>
      </c>
      <c r="G447" t="s">
        <v>107</v>
      </c>
      <c r="H447" t="s">
        <v>259</v>
      </c>
    </row>
    <row r="448" spans="1:8" x14ac:dyDescent="0.3">
      <c r="A448" t="s">
        <v>1251</v>
      </c>
      <c r="B448" t="s">
        <v>25</v>
      </c>
      <c r="C448" t="s">
        <v>39</v>
      </c>
      <c r="D448" t="s">
        <v>1252</v>
      </c>
      <c r="E448" t="s">
        <v>112</v>
      </c>
      <c r="F448" t="s">
        <v>113</v>
      </c>
      <c r="G448" t="s">
        <v>107</v>
      </c>
      <c r="H448" t="s">
        <v>60</v>
      </c>
    </row>
    <row r="449" spans="1:8" x14ac:dyDescent="0.3">
      <c r="A449" t="s">
        <v>1253</v>
      </c>
      <c r="B449" t="s">
        <v>390</v>
      </c>
      <c r="C449" t="s">
        <v>43</v>
      </c>
      <c r="D449" t="s">
        <v>1254</v>
      </c>
      <c r="E449" t="s">
        <v>118</v>
      </c>
      <c r="F449" t="s">
        <v>106</v>
      </c>
      <c r="G449" t="s">
        <v>107</v>
      </c>
      <c r="H449" t="s">
        <v>385</v>
      </c>
    </row>
    <row r="450" spans="1:8" x14ac:dyDescent="0.3">
      <c r="A450" t="s">
        <v>1255</v>
      </c>
      <c r="B450" t="s">
        <v>906</v>
      </c>
      <c r="C450" t="s">
        <v>43</v>
      </c>
      <c r="D450" t="s">
        <v>1256</v>
      </c>
      <c r="E450" t="s">
        <v>227</v>
      </c>
      <c r="F450" t="s">
        <v>113</v>
      </c>
      <c r="G450" t="s">
        <v>107</v>
      </c>
      <c r="H450" t="s">
        <v>176</v>
      </c>
    </row>
    <row r="451" spans="1:8" x14ac:dyDescent="0.3">
      <c r="A451" t="s">
        <v>1257</v>
      </c>
      <c r="B451" t="s">
        <v>1258</v>
      </c>
      <c r="C451" t="s">
        <v>82</v>
      </c>
      <c r="D451" t="s">
        <v>1259</v>
      </c>
      <c r="E451" t="s">
        <v>274</v>
      </c>
      <c r="F451" t="s">
        <v>113</v>
      </c>
      <c r="G451" t="s">
        <v>107</v>
      </c>
      <c r="H451" t="s">
        <v>519</v>
      </c>
    </row>
    <row r="452" spans="1:8" x14ac:dyDescent="0.3">
      <c r="A452" t="s">
        <v>1260</v>
      </c>
      <c r="B452" t="s">
        <v>968</v>
      </c>
      <c r="C452" t="s">
        <v>78</v>
      </c>
      <c r="D452" t="s">
        <v>1261</v>
      </c>
      <c r="E452" t="s">
        <v>145</v>
      </c>
      <c r="F452" t="s">
        <v>113</v>
      </c>
      <c r="G452" t="s">
        <v>107</v>
      </c>
      <c r="H452" t="s">
        <v>222</v>
      </c>
    </row>
    <row r="453" spans="1:8" x14ac:dyDescent="0.3">
      <c r="A453" t="s">
        <v>1262</v>
      </c>
      <c r="B453" t="s">
        <v>417</v>
      </c>
      <c r="C453" t="s">
        <v>54</v>
      </c>
      <c r="D453" t="s">
        <v>1263</v>
      </c>
      <c r="E453" t="s">
        <v>145</v>
      </c>
      <c r="F453" t="s">
        <v>154</v>
      </c>
      <c r="G453" t="s">
        <v>107</v>
      </c>
      <c r="H453" t="s">
        <v>64</v>
      </c>
    </row>
    <row r="454" spans="1:8" x14ac:dyDescent="0.3">
      <c r="A454" t="s">
        <v>1264</v>
      </c>
      <c r="B454" t="s">
        <v>60</v>
      </c>
      <c r="C454" t="s">
        <v>87</v>
      </c>
      <c r="D454" t="s">
        <v>1265</v>
      </c>
      <c r="E454" t="s">
        <v>227</v>
      </c>
      <c r="F454" t="s">
        <v>113</v>
      </c>
      <c r="G454" t="s">
        <v>107</v>
      </c>
      <c r="H454" t="s">
        <v>68</v>
      </c>
    </row>
    <row r="455" spans="1:8" x14ac:dyDescent="0.3">
      <c r="A455" t="s">
        <v>1266</v>
      </c>
      <c r="B455" t="s">
        <v>148</v>
      </c>
      <c r="C455" t="s">
        <v>84</v>
      </c>
      <c r="D455" t="s">
        <v>1267</v>
      </c>
      <c r="E455" t="s">
        <v>118</v>
      </c>
      <c r="F455" t="s">
        <v>113</v>
      </c>
      <c r="G455" t="s">
        <v>107</v>
      </c>
      <c r="H455" t="s">
        <v>150</v>
      </c>
    </row>
    <row r="456" spans="1:8" x14ac:dyDescent="0.3">
      <c r="A456" t="s">
        <v>1268</v>
      </c>
      <c r="B456" t="s">
        <v>563</v>
      </c>
      <c r="C456" t="s">
        <v>30</v>
      </c>
      <c r="D456" t="s">
        <v>1269</v>
      </c>
      <c r="E456" t="s">
        <v>220</v>
      </c>
      <c r="F456" t="s">
        <v>106</v>
      </c>
      <c r="G456" t="s">
        <v>107</v>
      </c>
      <c r="H456" t="s">
        <v>62</v>
      </c>
    </row>
    <row r="457" spans="1:8" x14ac:dyDescent="0.3">
      <c r="A457" t="s">
        <v>1270</v>
      </c>
      <c r="B457" t="s">
        <v>182</v>
      </c>
      <c r="C457" t="s">
        <v>43</v>
      </c>
      <c r="D457" t="s">
        <v>1271</v>
      </c>
      <c r="E457" t="s">
        <v>220</v>
      </c>
      <c r="F457" t="s">
        <v>122</v>
      </c>
      <c r="G457" t="s">
        <v>107</v>
      </c>
      <c r="H457" t="s">
        <v>222</v>
      </c>
    </row>
    <row r="458" spans="1:8" x14ac:dyDescent="0.3">
      <c r="A458" t="s">
        <v>1272</v>
      </c>
      <c r="B458" t="s">
        <v>1133</v>
      </c>
      <c r="C458" t="s">
        <v>46</v>
      </c>
      <c r="D458" t="s">
        <v>1273</v>
      </c>
      <c r="E458" t="s">
        <v>127</v>
      </c>
      <c r="F458" t="s">
        <v>122</v>
      </c>
      <c r="G458" t="s">
        <v>107</v>
      </c>
      <c r="H458" t="s">
        <v>506</v>
      </c>
    </row>
    <row r="459" spans="1:8" x14ac:dyDescent="0.3">
      <c r="A459" t="s">
        <v>1274</v>
      </c>
      <c r="B459" t="s">
        <v>842</v>
      </c>
      <c r="C459" t="s">
        <v>76</v>
      </c>
      <c r="D459" t="s">
        <v>1275</v>
      </c>
      <c r="E459" t="s">
        <v>118</v>
      </c>
      <c r="F459" t="s">
        <v>113</v>
      </c>
      <c r="G459" t="s">
        <v>107</v>
      </c>
      <c r="H459" t="s">
        <v>463</v>
      </c>
    </row>
    <row r="460" spans="1:8" x14ac:dyDescent="0.3">
      <c r="A460" t="s">
        <v>1276</v>
      </c>
      <c r="B460" t="s">
        <v>929</v>
      </c>
      <c r="C460" t="s">
        <v>32</v>
      </c>
      <c r="D460" t="s">
        <v>1277</v>
      </c>
      <c r="E460" t="s">
        <v>118</v>
      </c>
      <c r="F460" t="s">
        <v>113</v>
      </c>
      <c r="G460" t="s">
        <v>107</v>
      </c>
      <c r="H460" t="s">
        <v>46</v>
      </c>
    </row>
    <row r="461" spans="1:8" x14ac:dyDescent="0.3">
      <c r="A461" t="s">
        <v>1278</v>
      </c>
      <c r="B461" t="s">
        <v>367</v>
      </c>
      <c r="C461" t="s">
        <v>82</v>
      </c>
      <c r="D461" t="s">
        <v>1279</v>
      </c>
      <c r="E461" t="s">
        <v>227</v>
      </c>
      <c r="F461" t="s">
        <v>106</v>
      </c>
      <c r="G461" t="s">
        <v>107</v>
      </c>
      <c r="H461" t="s">
        <v>281</v>
      </c>
    </row>
    <row r="462" spans="1:8" x14ac:dyDescent="0.3">
      <c r="A462" t="s">
        <v>1280</v>
      </c>
      <c r="B462" t="s">
        <v>91</v>
      </c>
      <c r="C462" t="s">
        <v>15</v>
      </c>
      <c r="D462" t="s">
        <v>1281</v>
      </c>
      <c r="E462" t="s">
        <v>227</v>
      </c>
      <c r="F462" t="s">
        <v>122</v>
      </c>
      <c r="G462" t="s">
        <v>107</v>
      </c>
      <c r="H462" t="s">
        <v>506</v>
      </c>
    </row>
    <row r="463" spans="1:8" x14ac:dyDescent="0.3">
      <c r="A463" t="s">
        <v>1282</v>
      </c>
      <c r="B463" t="s">
        <v>476</v>
      </c>
      <c r="C463" t="s">
        <v>41</v>
      </c>
      <c r="D463" t="s">
        <v>1283</v>
      </c>
      <c r="E463" t="s">
        <v>220</v>
      </c>
      <c r="F463" t="s">
        <v>113</v>
      </c>
      <c r="G463" t="s">
        <v>107</v>
      </c>
      <c r="H463" t="s">
        <v>25</v>
      </c>
    </row>
    <row r="464" spans="1:8" x14ac:dyDescent="0.3">
      <c r="A464" t="s">
        <v>1284</v>
      </c>
      <c r="B464" t="s">
        <v>1178</v>
      </c>
      <c r="C464" t="s">
        <v>78</v>
      </c>
      <c r="D464" t="s">
        <v>1285</v>
      </c>
      <c r="E464" t="s">
        <v>112</v>
      </c>
      <c r="F464" t="s">
        <v>122</v>
      </c>
      <c r="G464" t="s">
        <v>107</v>
      </c>
      <c r="H464" t="s">
        <v>463</v>
      </c>
    </row>
    <row r="465" spans="1:8" x14ac:dyDescent="0.3">
      <c r="A465" t="s">
        <v>1286</v>
      </c>
      <c r="B465" t="s">
        <v>236</v>
      </c>
      <c r="C465" t="s">
        <v>93</v>
      </c>
      <c r="D465" t="s">
        <v>1287</v>
      </c>
      <c r="E465" t="s">
        <v>127</v>
      </c>
      <c r="F465" t="s">
        <v>113</v>
      </c>
      <c r="G465" t="s">
        <v>107</v>
      </c>
      <c r="H465" t="s">
        <v>259</v>
      </c>
    </row>
    <row r="466" spans="1:8" x14ac:dyDescent="0.3">
      <c r="A466" t="s">
        <v>1288</v>
      </c>
      <c r="B466" t="s">
        <v>15</v>
      </c>
      <c r="C466" t="s">
        <v>82</v>
      </c>
      <c r="D466" t="s">
        <v>1289</v>
      </c>
      <c r="E466" t="s">
        <v>145</v>
      </c>
      <c r="F466" t="s">
        <v>113</v>
      </c>
      <c r="G466" t="s">
        <v>107</v>
      </c>
      <c r="H466" t="s">
        <v>176</v>
      </c>
    </row>
    <row r="467" spans="1:8" x14ac:dyDescent="0.3">
      <c r="A467" t="s">
        <v>1290</v>
      </c>
      <c r="B467" t="s">
        <v>225</v>
      </c>
      <c r="C467" t="s">
        <v>48</v>
      </c>
      <c r="D467" t="s">
        <v>1291</v>
      </c>
      <c r="E467" t="s">
        <v>227</v>
      </c>
      <c r="F467" t="s">
        <v>113</v>
      </c>
      <c r="G467" t="s">
        <v>107</v>
      </c>
      <c r="H467" t="s">
        <v>263</v>
      </c>
    </row>
    <row r="468" spans="1:8" x14ac:dyDescent="0.3">
      <c r="A468" t="s">
        <v>1292</v>
      </c>
      <c r="B468" t="s">
        <v>445</v>
      </c>
      <c r="C468" t="s">
        <v>68</v>
      </c>
      <c r="D468" t="s">
        <v>1293</v>
      </c>
      <c r="E468" t="s">
        <v>220</v>
      </c>
      <c r="F468" t="s">
        <v>113</v>
      </c>
      <c r="G468" t="s">
        <v>107</v>
      </c>
      <c r="H468" t="s">
        <v>56</v>
      </c>
    </row>
    <row r="469" spans="1:8" x14ac:dyDescent="0.3">
      <c r="A469" t="s">
        <v>1294</v>
      </c>
      <c r="B469" t="s">
        <v>567</v>
      </c>
      <c r="C469" t="s">
        <v>43</v>
      </c>
      <c r="D469" t="s">
        <v>1295</v>
      </c>
      <c r="E469" t="s">
        <v>112</v>
      </c>
      <c r="F469" t="s">
        <v>106</v>
      </c>
      <c r="G469" t="s">
        <v>107</v>
      </c>
      <c r="H469" t="s">
        <v>60</v>
      </c>
    </row>
    <row r="470" spans="1:8" x14ac:dyDescent="0.3">
      <c r="A470" t="s">
        <v>1296</v>
      </c>
      <c r="B470" t="s">
        <v>1297</v>
      </c>
      <c r="C470" t="s">
        <v>48</v>
      </c>
      <c r="D470" t="s">
        <v>1298</v>
      </c>
      <c r="E470" t="s">
        <v>227</v>
      </c>
      <c r="F470" t="s">
        <v>154</v>
      </c>
      <c r="G470" t="s">
        <v>107</v>
      </c>
      <c r="H470" t="s">
        <v>278</v>
      </c>
    </row>
    <row r="471" spans="1:8" x14ac:dyDescent="0.3">
      <c r="A471" t="s">
        <v>1299</v>
      </c>
      <c r="B471" t="s">
        <v>133</v>
      </c>
      <c r="C471" t="s">
        <v>87</v>
      </c>
      <c r="D471" t="s">
        <v>1300</v>
      </c>
      <c r="E471" t="s">
        <v>145</v>
      </c>
      <c r="F471" t="s">
        <v>154</v>
      </c>
      <c r="G471" t="s">
        <v>107</v>
      </c>
      <c r="H471" t="s">
        <v>74</v>
      </c>
    </row>
    <row r="472" spans="1:8" x14ac:dyDescent="0.3">
      <c r="A472" t="s">
        <v>1301</v>
      </c>
      <c r="B472" t="s">
        <v>146</v>
      </c>
      <c r="C472" t="s">
        <v>12</v>
      </c>
      <c r="D472" t="s">
        <v>362</v>
      </c>
      <c r="E472" t="s">
        <v>112</v>
      </c>
      <c r="F472" t="s">
        <v>113</v>
      </c>
      <c r="G472" t="s">
        <v>107</v>
      </c>
      <c r="H472" t="s">
        <v>32</v>
      </c>
    </row>
    <row r="473" spans="1:8" x14ac:dyDescent="0.3">
      <c r="A473" t="s">
        <v>1302</v>
      </c>
      <c r="B473" t="s">
        <v>479</v>
      </c>
      <c r="C473" t="s">
        <v>74</v>
      </c>
      <c r="D473" t="s">
        <v>1303</v>
      </c>
      <c r="E473" t="s">
        <v>145</v>
      </c>
      <c r="F473" t="s">
        <v>122</v>
      </c>
      <c r="G473" t="s">
        <v>107</v>
      </c>
      <c r="H473" t="s">
        <v>23</v>
      </c>
    </row>
    <row r="474" spans="1:8" x14ac:dyDescent="0.3">
      <c r="A474" t="s">
        <v>1304</v>
      </c>
      <c r="B474" t="s">
        <v>556</v>
      </c>
      <c r="C474" t="s">
        <v>20</v>
      </c>
      <c r="D474" t="s">
        <v>1305</v>
      </c>
      <c r="E474" t="s">
        <v>112</v>
      </c>
      <c r="F474" t="s">
        <v>113</v>
      </c>
      <c r="G474" t="s">
        <v>107</v>
      </c>
      <c r="H474" t="s">
        <v>222</v>
      </c>
    </row>
    <row r="475" spans="1:8" x14ac:dyDescent="0.3">
      <c r="A475" t="s">
        <v>1306</v>
      </c>
      <c r="B475" t="s">
        <v>168</v>
      </c>
      <c r="C475" t="s">
        <v>87</v>
      </c>
      <c r="D475" t="s">
        <v>1307</v>
      </c>
      <c r="E475" t="s">
        <v>127</v>
      </c>
      <c r="F475" t="s">
        <v>113</v>
      </c>
      <c r="G475" t="s">
        <v>155</v>
      </c>
      <c r="H475" t="s">
        <v>34</v>
      </c>
    </row>
    <row r="476" spans="1:8" x14ac:dyDescent="0.3">
      <c r="A476" t="s">
        <v>1308</v>
      </c>
      <c r="B476" t="s">
        <v>56</v>
      </c>
      <c r="C476" t="s">
        <v>41</v>
      </c>
      <c r="D476" t="s">
        <v>1309</v>
      </c>
      <c r="E476" t="s">
        <v>112</v>
      </c>
      <c r="F476" t="s">
        <v>122</v>
      </c>
      <c r="G476" t="s">
        <v>107</v>
      </c>
      <c r="H476" t="s">
        <v>66</v>
      </c>
    </row>
    <row r="477" spans="1:8" x14ac:dyDescent="0.3">
      <c r="A477" t="s">
        <v>1310</v>
      </c>
      <c r="B477" t="s">
        <v>1311</v>
      </c>
      <c r="C477" t="s">
        <v>74</v>
      </c>
      <c r="D477" t="s">
        <v>1312</v>
      </c>
      <c r="E477" t="s">
        <v>112</v>
      </c>
      <c r="F477" t="s">
        <v>122</v>
      </c>
      <c r="G477" t="s">
        <v>155</v>
      </c>
      <c r="H477" t="s">
        <v>80</v>
      </c>
    </row>
    <row r="478" spans="1:8" x14ac:dyDescent="0.3">
      <c r="A478" t="s">
        <v>1313</v>
      </c>
      <c r="B478" t="s">
        <v>1314</v>
      </c>
      <c r="C478" t="s">
        <v>82</v>
      </c>
      <c r="D478" t="s">
        <v>1315</v>
      </c>
      <c r="E478" t="s">
        <v>118</v>
      </c>
      <c r="F478" t="s">
        <v>113</v>
      </c>
      <c r="G478" t="s">
        <v>107</v>
      </c>
      <c r="H478" t="s">
        <v>301</v>
      </c>
    </row>
    <row r="479" spans="1:8" x14ac:dyDescent="0.3">
      <c r="A479" t="s">
        <v>1316</v>
      </c>
      <c r="B479" t="s">
        <v>1317</v>
      </c>
      <c r="C479" t="s">
        <v>8</v>
      </c>
      <c r="D479" t="s">
        <v>1318</v>
      </c>
      <c r="E479" t="s">
        <v>145</v>
      </c>
      <c r="F479" t="s">
        <v>106</v>
      </c>
      <c r="G479" t="s">
        <v>107</v>
      </c>
      <c r="H479" t="s">
        <v>64</v>
      </c>
    </row>
    <row r="480" spans="1:8" x14ac:dyDescent="0.3">
      <c r="A480" t="s">
        <v>1319</v>
      </c>
      <c r="B480" t="s">
        <v>906</v>
      </c>
      <c r="C480" t="s">
        <v>17</v>
      </c>
      <c r="D480" t="s">
        <v>1320</v>
      </c>
      <c r="E480" t="s">
        <v>112</v>
      </c>
      <c r="F480" t="s">
        <v>113</v>
      </c>
      <c r="G480" t="s">
        <v>107</v>
      </c>
      <c r="H480" t="s">
        <v>89</v>
      </c>
    </row>
    <row r="481" spans="1:8" x14ac:dyDescent="0.3">
      <c r="A481" t="s">
        <v>1321</v>
      </c>
      <c r="B481" t="s">
        <v>1311</v>
      </c>
      <c r="C481" t="s">
        <v>62</v>
      </c>
      <c r="D481" t="s">
        <v>1322</v>
      </c>
      <c r="E481" t="s">
        <v>127</v>
      </c>
      <c r="F481" t="s">
        <v>106</v>
      </c>
      <c r="G481" t="s">
        <v>107</v>
      </c>
      <c r="H481" t="s">
        <v>180</v>
      </c>
    </row>
    <row r="482" spans="1:8" x14ac:dyDescent="0.3">
      <c r="A482" t="s">
        <v>1323</v>
      </c>
      <c r="B482" t="s">
        <v>489</v>
      </c>
      <c r="C482" t="s">
        <v>28</v>
      </c>
      <c r="D482" t="s">
        <v>1324</v>
      </c>
      <c r="E482" t="s">
        <v>112</v>
      </c>
      <c r="F482" t="s">
        <v>106</v>
      </c>
      <c r="G482" t="s">
        <v>155</v>
      </c>
      <c r="H482" t="s">
        <v>556</v>
      </c>
    </row>
    <row r="483" spans="1:8" x14ac:dyDescent="0.3">
      <c r="A483" t="s">
        <v>1325</v>
      </c>
      <c r="B483" t="s">
        <v>1326</v>
      </c>
      <c r="C483" t="s">
        <v>15</v>
      </c>
      <c r="D483" t="s">
        <v>1327</v>
      </c>
      <c r="E483" t="s">
        <v>118</v>
      </c>
      <c r="F483" t="s">
        <v>113</v>
      </c>
      <c r="G483" t="s">
        <v>107</v>
      </c>
      <c r="H483" t="s">
        <v>34</v>
      </c>
    </row>
    <row r="484" spans="1:8" x14ac:dyDescent="0.3">
      <c r="A484" t="s">
        <v>1328</v>
      </c>
      <c r="B484" t="s">
        <v>91</v>
      </c>
      <c r="C484" t="s">
        <v>56</v>
      </c>
      <c r="D484" t="s">
        <v>1329</v>
      </c>
      <c r="E484" t="s">
        <v>140</v>
      </c>
      <c r="F484" t="s">
        <v>122</v>
      </c>
      <c r="G484" t="s">
        <v>107</v>
      </c>
      <c r="H484" t="s">
        <v>567</v>
      </c>
    </row>
    <row r="485" spans="1:8" x14ac:dyDescent="0.3">
      <c r="A485" t="s">
        <v>1330</v>
      </c>
      <c r="B485" t="s">
        <v>906</v>
      </c>
      <c r="C485" t="s">
        <v>54</v>
      </c>
      <c r="D485" t="s">
        <v>1331</v>
      </c>
      <c r="E485" t="s">
        <v>145</v>
      </c>
      <c r="F485" t="s">
        <v>106</v>
      </c>
      <c r="G485" t="s">
        <v>107</v>
      </c>
      <c r="H485" t="s">
        <v>12</v>
      </c>
    </row>
    <row r="486" spans="1:8" x14ac:dyDescent="0.3">
      <c r="A486" t="s">
        <v>1332</v>
      </c>
      <c r="B486" t="s">
        <v>337</v>
      </c>
      <c r="C486" t="s">
        <v>76</v>
      </c>
      <c r="D486" t="s">
        <v>1333</v>
      </c>
      <c r="E486" t="s">
        <v>145</v>
      </c>
      <c r="F486" t="s">
        <v>113</v>
      </c>
      <c r="G486" t="s">
        <v>107</v>
      </c>
      <c r="H486" t="s">
        <v>70</v>
      </c>
    </row>
    <row r="487" spans="1:8" x14ac:dyDescent="0.3">
      <c r="A487" t="s">
        <v>1334</v>
      </c>
      <c r="B487" t="s">
        <v>676</v>
      </c>
      <c r="C487" t="s">
        <v>34</v>
      </c>
      <c r="D487" t="s">
        <v>1335</v>
      </c>
      <c r="E487" t="s">
        <v>220</v>
      </c>
      <c r="F487" t="s">
        <v>106</v>
      </c>
      <c r="G487" t="s">
        <v>155</v>
      </c>
      <c r="H487" t="s">
        <v>316</v>
      </c>
    </row>
    <row r="488" spans="1:8" x14ac:dyDescent="0.3">
      <c r="A488" t="s">
        <v>1336</v>
      </c>
      <c r="B488" t="s">
        <v>141</v>
      </c>
      <c r="C488" t="s">
        <v>93</v>
      </c>
      <c r="D488" t="s">
        <v>1337</v>
      </c>
      <c r="E488" t="s">
        <v>220</v>
      </c>
      <c r="F488" t="s">
        <v>113</v>
      </c>
      <c r="G488" t="s">
        <v>107</v>
      </c>
      <c r="H488" t="s">
        <v>87</v>
      </c>
    </row>
    <row r="489" spans="1:8" x14ac:dyDescent="0.3">
      <c r="A489" t="s">
        <v>1338</v>
      </c>
      <c r="B489" t="s">
        <v>89</v>
      </c>
      <c r="C489" t="s">
        <v>20</v>
      </c>
      <c r="D489" t="s">
        <v>1339</v>
      </c>
      <c r="E489" t="s">
        <v>112</v>
      </c>
      <c r="F489" t="s">
        <v>106</v>
      </c>
      <c r="G489" t="s">
        <v>107</v>
      </c>
      <c r="H489" t="s">
        <v>80</v>
      </c>
    </row>
    <row r="490" spans="1:8" x14ac:dyDescent="0.3">
      <c r="A490" t="s">
        <v>1340</v>
      </c>
      <c r="B490" t="s">
        <v>660</v>
      </c>
      <c r="C490" t="s">
        <v>30</v>
      </c>
      <c r="D490" t="s">
        <v>1341</v>
      </c>
      <c r="E490" t="s">
        <v>112</v>
      </c>
      <c r="F490" t="s">
        <v>122</v>
      </c>
      <c r="G490" t="s">
        <v>198</v>
      </c>
      <c r="H490" t="s">
        <v>981</v>
      </c>
    </row>
    <row r="491" spans="1:8" x14ac:dyDescent="0.3">
      <c r="A491" t="s">
        <v>1342</v>
      </c>
      <c r="B491" t="s">
        <v>187</v>
      </c>
      <c r="C491" t="s">
        <v>20</v>
      </c>
      <c r="D491" t="s">
        <v>1343</v>
      </c>
      <c r="E491" t="s">
        <v>118</v>
      </c>
      <c r="F491" t="s">
        <v>154</v>
      </c>
      <c r="G491" t="s">
        <v>107</v>
      </c>
      <c r="H491" t="s">
        <v>496</v>
      </c>
    </row>
    <row r="492" spans="1:8" x14ac:dyDescent="0.3">
      <c r="A492" t="s">
        <v>1344</v>
      </c>
      <c r="B492" t="s">
        <v>1345</v>
      </c>
      <c r="C492" t="s">
        <v>23</v>
      </c>
      <c r="D492" t="s">
        <v>1346</v>
      </c>
      <c r="E492" t="s">
        <v>220</v>
      </c>
      <c r="F492" t="s">
        <v>154</v>
      </c>
      <c r="G492" t="s">
        <v>107</v>
      </c>
      <c r="H492" t="s">
        <v>43</v>
      </c>
    </row>
    <row r="493" spans="1:8" x14ac:dyDescent="0.3">
      <c r="A493" t="s">
        <v>1347</v>
      </c>
      <c r="B493" t="s">
        <v>645</v>
      </c>
      <c r="C493" t="s">
        <v>84</v>
      </c>
      <c r="D493" t="s">
        <v>1348</v>
      </c>
      <c r="E493" t="s">
        <v>127</v>
      </c>
      <c r="F493" t="s">
        <v>106</v>
      </c>
      <c r="G493" t="s">
        <v>107</v>
      </c>
      <c r="H493" t="s">
        <v>592</v>
      </c>
    </row>
    <row r="494" spans="1:8" x14ac:dyDescent="0.3">
      <c r="A494" t="s">
        <v>1349</v>
      </c>
      <c r="B494" t="s">
        <v>39</v>
      </c>
      <c r="C494" t="s">
        <v>20</v>
      </c>
      <c r="D494" t="s">
        <v>1350</v>
      </c>
      <c r="E494" t="s">
        <v>140</v>
      </c>
      <c r="F494" t="s">
        <v>154</v>
      </c>
      <c r="G494" t="s">
        <v>107</v>
      </c>
      <c r="H494" t="s">
        <v>1351</v>
      </c>
    </row>
    <row r="495" spans="1:8" x14ac:dyDescent="0.3">
      <c r="A495" t="s">
        <v>1352</v>
      </c>
      <c r="B495" t="s">
        <v>796</v>
      </c>
      <c r="C495" t="s">
        <v>54</v>
      </c>
      <c r="D495" t="s">
        <v>1353</v>
      </c>
      <c r="E495" t="s">
        <v>140</v>
      </c>
      <c r="F495" t="s">
        <v>113</v>
      </c>
      <c r="G495" t="s">
        <v>107</v>
      </c>
      <c r="H495" t="s">
        <v>112</v>
      </c>
    </row>
    <row r="496" spans="1:8" x14ac:dyDescent="0.3">
      <c r="A496" t="s">
        <v>1354</v>
      </c>
      <c r="B496" t="s">
        <v>610</v>
      </c>
      <c r="C496" t="s">
        <v>20</v>
      </c>
      <c r="D496" t="s">
        <v>1355</v>
      </c>
      <c r="E496" t="s">
        <v>112</v>
      </c>
      <c r="F496" t="s">
        <v>113</v>
      </c>
      <c r="G496" t="s">
        <v>107</v>
      </c>
      <c r="H496" t="s">
        <v>120</v>
      </c>
    </row>
    <row r="497" spans="1:8" x14ac:dyDescent="0.3">
      <c r="A497" t="s">
        <v>1356</v>
      </c>
      <c r="B497" t="s">
        <v>1357</v>
      </c>
      <c r="C497" t="s">
        <v>87</v>
      </c>
      <c r="D497" t="s">
        <v>1358</v>
      </c>
      <c r="E497" t="s">
        <v>227</v>
      </c>
      <c r="F497" t="s">
        <v>106</v>
      </c>
      <c r="G497" t="s">
        <v>107</v>
      </c>
      <c r="H497" t="s">
        <v>811</v>
      </c>
    </row>
    <row r="498" spans="1:8" x14ac:dyDescent="0.3">
      <c r="A498" t="s">
        <v>1359</v>
      </c>
      <c r="B498" t="s">
        <v>316</v>
      </c>
      <c r="C498" t="s">
        <v>28</v>
      </c>
      <c r="D498" t="s">
        <v>1360</v>
      </c>
      <c r="E498" t="s">
        <v>227</v>
      </c>
      <c r="F498" t="s">
        <v>113</v>
      </c>
      <c r="G498" t="s">
        <v>107</v>
      </c>
      <c r="H498" t="s">
        <v>80</v>
      </c>
    </row>
    <row r="499" spans="1:8" x14ac:dyDescent="0.3">
      <c r="A499" t="s">
        <v>1361</v>
      </c>
      <c r="B499" t="s">
        <v>313</v>
      </c>
      <c r="C499" t="s">
        <v>17</v>
      </c>
      <c r="D499" t="s">
        <v>1362</v>
      </c>
      <c r="E499" t="s">
        <v>127</v>
      </c>
      <c r="F499" t="s">
        <v>113</v>
      </c>
      <c r="G499" t="s">
        <v>107</v>
      </c>
      <c r="H499" t="s">
        <v>54</v>
      </c>
    </row>
    <row r="500" spans="1:8" x14ac:dyDescent="0.3">
      <c r="A500" t="s">
        <v>1363</v>
      </c>
      <c r="B500" t="s">
        <v>171</v>
      </c>
      <c r="C500" t="s">
        <v>74</v>
      </c>
      <c r="D500" t="s">
        <v>1364</v>
      </c>
      <c r="E500" t="s">
        <v>220</v>
      </c>
      <c r="F500" t="s">
        <v>106</v>
      </c>
      <c r="G500" t="s">
        <v>107</v>
      </c>
      <c r="H500" t="s">
        <v>123</v>
      </c>
    </row>
    <row r="501" spans="1:8" x14ac:dyDescent="0.3">
      <c r="A501" t="s">
        <v>1365</v>
      </c>
      <c r="B501" t="s">
        <v>1366</v>
      </c>
      <c r="C501" t="s">
        <v>76</v>
      </c>
      <c r="D501" t="s">
        <v>1367</v>
      </c>
      <c r="E501" t="s">
        <v>227</v>
      </c>
      <c r="F501" t="s">
        <v>154</v>
      </c>
      <c r="G501" t="s">
        <v>107</v>
      </c>
      <c r="H501" t="s">
        <v>228</v>
      </c>
    </row>
    <row r="502" spans="1:8" x14ac:dyDescent="0.3">
      <c r="A502" t="s">
        <v>1368</v>
      </c>
      <c r="B502" t="s">
        <v>1369</v>
      </c>
      <c r="C502" t="s">
        <v>23</v>
      </c>
      <c r="D502" t="s">
        <v>1370</v>
      </c>
      <c r="E502" t="s">
        <v>1371</v>
      </c>
      <c r="F502" t="s">
        <v>154</v>
      </c>
      <c r="G502" t="s">
        <v>198</v>
      </c>
      <c r="H502" t="s">
        <v>114</v>
      </c>
    </row>
    <row r="503" spans="1:8" x14ac:dyDescent="0.3">
      <c r="A503" t="s">
        <v>1372</v>
      </c>
      <c r="B503" t="s">
        <v>1373</v>
      </c>
      <c r="C503" t="s">
        <v>93</v>
      </c>
      <c r="D503" t="s">
        <v>1374</v>
      </c>
      <c r="E503" t="s">
        <v>274</v>
      </c>
      <c r="F503" t="s">
        <v>154</v>
      </c>
      <c r="G503" t="s">
        <v>198</v>
      </c>
      <c r="H503" t="s">
        <v>367</v>
      </c>
    </row>
    <row r="504" spans="1:8" x14ac:dyDescent="0.3">
      <c r="A504" t="s">
        <v>1375</v>
      </c>
      <c r="B504" t="s">
        <v>1376</v>
      </c>
      <c r="C504" t="s">
        <v>68</v>
      </c>
      <c r="D504" t="s">
        <v>1377</v>
      </c>
      <c r="E504" t="s">
        <v>1371</v>
      </c>
      <c r="F504" t="s">
        <v>154</v>
      </c>
      <c r="G504" t="s">
        <v>198</v>
      </c>
      <c r="H504" t="s">
        <v>114</v>
      </c>
    </row>
    <row r="505" spans="1:8" x14ac:dyDescent="0.3">
      <c r="A505" t="s">
        <v>1378</v>
      </c>
      <c r="B505" t="s">
        <v>1379</v>
      </c>
      <c r="C505" t="s">
        <v>36</v>
      </c>
      <c r="D505" t="s">
        <v>1380</v>
      </c>
      <c r="E505" t="s">
        <v>274</v>
      </c>
      <c r="F505" t="s">
        <v>154</v>
      </c>
      <c r="G505" t="s">
        <v>198</v>
      </c>
      <c r="H505" t="s">
        <v>409</v>
      </c>
    </row>
    <row r="506" spans="1:8" x14ac:dyDescent="0.3">
      <c r="A506" t="s">
        <v>1381</v>
      </c>
      <c r="B506" t="s">
        <v>1382</v>
      </c>
      <c r="C506" t="s">
        <v>50</v>
      </c>
      <c r="D506" t="s">
        <v>1383</v>
      </c>
      <c r="E506" t="s">
        <v>274</v>
      </c>
      <c r="F506" t="s">
        <v>154</v>
      </c>
      <c r="G506" t="s">
        <v>198</v>
      </c>
      <c r="H506" t="s">
        <v>123</v>
      </c>
    </row>
    <row r="507" spans="1:8" x14ac:dyDescent="0.3">
      <c r="A507" t="s">
        <v>1384</v>
      </c>
      <c r="B507" t="s">
        <v>1385</v>
      </c>
      <c r="C507" t="s">
        <v>62</v>
      </c>
      <c r="D507" t="s">
        <v>1386</v>
      </c>
      <c r="E507" t="s">
        <v>105</v>
      </c>
      <c r="F507" t="s">
        <v>154</v>
      </c>
      <c r="G507" t="s">
        <v>198</v>
      </c>
      <c r="H507" t="s">
        <v>296</v>
      </c>
    </row>
    <row r="508" spans="1:8" x14ac:dyDescent="0.3">
      <c r="A508" t="s">
        <v>1387</v>
      </c>
      <c r="B508" t="s">
        <v>1388</v>
      </c>
      <c r="C508" t="s">
        <v>87</v>
      </c>
      <c r="D508" t="s">
        <v>1389</v>
      </c>
      <c r="E508" t="s">
        <v>1371</v>
      </c>
      <c r="F508" t="s">
        <v>154</v>
      </c>
      <c r="G508" t="s">
        <v>198</v>
      </c>
      <c r="H508" t="s">
        <v>556</v>
      </c>
    </row>
    <row r="509" spans="1:8" x14ac:dyDescent="0.3">
      <c r="A509" t="s">
        <v>1390</v>
      </c>
      <c r="B509" t="s">
        <v>1391</v>
      </c>
      <c r="C509" t="s">
        <v>84</v>
      </c>
      <c r="D509" t="s">
        <v>1392</v>
      </c>
      <c r="E509" t="s">
        <v>1393</v>
      </c>
      <c r="F509" t="s">
        <v>154</v>
      </c>
      <c r="G509" t="s">
        <v>198</v>
      </c>
      <c r="H509" t="s">
        <v>123</v>
      </c>
    </row>
    <row r="510" spans="1:8" x14ac:dyDescent="0.3">
      <c r="A510" t="s">
        <v>1394</v>
      </c>
      <c r="B510" t="s">
        <v>1395</v>
      </c>
      <c r="C510" t="s">
        <v>70</v>
      </c>
      <c r="D510" t="s">
        <v>1396</v>
      </c>
      <c r="E510" t="s">
        <v>105</v>
      </c>
      <c r="F510" t="s">
        <v>154</v>
      </c>
      <c r="G510" t="s">
        <v>198</v>
      </c>
      <c r="H510" t="s">
        <v>296</v>
      </c>
    </row>
    <row r="511" spans="1:8" x14ac:dyDescent="0.3">
      <c r="A511" t="s">
        <v>1397</v>
      </c>
      <c r="B511" t="s">
        <v>1398</v>
      </c>
      <c r="C511" t="s">
        <v>76</v>
      </c>
      <c r="D511" t="s">
        <v>1399</v>
      </c>
      <c r="E511" t="s">
        <v>1371</v>
      </c>
      <c r="F511" t="s">
        <v>154</v>
      </c>
      <c r="G511" t="s">
        <v>198</v>
      </c>
      <c r="H511" t="s">
        <v>162</v>
      </c>
    </row>
    <row r="512" spans="1:8" x14ac:dyDescent="0.3">
      <c r="A512" t="s">
        <v>1400</v>
      </c>
      <c r="B512" t="s">
        <v>1401</v>
      </c>
      <c r="C512" t="s">
        <v>30</v>
      </c>
      <c r="D512" t="s">
        <v>1402</v>
      </c>
      <c r="E512" t="s">
        <v>274</v>
      </c>
      <c r="F512" t="s">
        <v>154</v>
      </c>
      <c r="G512" t="s">
        <v>198</v>
      </c>
      <c r="H512" t="s">
        <v>367</v>
      </c>
    </row>
    <row r="513" spans="1:8" x14ac:dyDescent="0.3">
      <c r="A513" t="s">
        <v>1403</v>
      </c>
      <c r="B513" t="s">
        <v>1404</v>
      </c>
      <c r="C513" t="s">
        <v>91</v>
      </c>
      <c r="D513" t="s">
        <v>1405</v>
      </c>
      <c r="E513" t="s">
        <v>274</v>
      </c>
      <c r="F513" t="s">
        <v>154</v>
      </c>
      <c r="G513" t="s">
        <v>198</v>
      </c>
      <c r="H513" t="s">
        <v>556</v>
      </c>
    </row>
    <row r="514" spans="1:8" x14ac:dyDescent="0.3">
      <c r="A514" t="s">
        <v>1406</v>
      </c>
      <c r="B514" t="s">
        <v>1407</v>
      </c>
      <c r="C514" t="s">
        <v>66</v>
      </c>
      <c r="D514" t="s">
        <v>1408</v>
      </c>
      <c r="E514" t="s">
        <v>1393</v>
      </c>
      <c r="F514" t="s">
        <v>154</v>
      </c>
      <c r="G514" t="s">
        <v>198</v>
      </c>
      <c r="H514" t="s">
        <v>367</v>
      </c>
    </row>
    <row r="515" spans="1:8" x14ac:dyDescent="0.3">
      <c r="A515" t="s">
        <v>1409</v>
      </c>
      <c r="B515" t="s">
        <v>1410</v>
      </c>
      <c r="C515" t="s">
        <v>91</v>
      </c>
      <c r="D515" t="s">
        <v>1411</v>
      </c>
      <c r="E515" t="s">
        <v>1393</v>
      </c>
      <c r="F515" t="s">
        <v>154</v>
      </c>
      <c r="G515" t="s">
        <v>198</v>
      </c>
      <c r="H515" t="s">
        <v>508</v>
      </c>
    </row>
    <row r="516" spans="1:8" x14ac:dyDescent="0.3">
      <c r="A516" t="s">
        <v>1412</v>
      </c>
      <c r="B516" t="s">
        <v>1413</v>
      </c>
      <c r="C516" t="s">
        <v>58</v>
      </c>
      <c r="D516" t="s">
        <v>1414</v>
      </c>
      <c r="E516" t="s">
        <v>1371</v>
      </c>
      <c r="F516" t="s">
        <v>154</v>
      </c>
      <c r="G516" t="s">
        <v>198</v>
      </c>
      <c r="H516" t="s">
        <v>162</v>
      </c>
    </row>
    <row r="517" spans="1:8" x14ac:dyDescent="0.3">
      <c r="A517" t="s">
        <v>1415</v>
      </c>
      <c r="B517" t="s">
        <v>1074</v>
      </c>
      <c r="C517" t="s">
        <v>64</v>
      </c>
      <c r="D517" t="s">
        <v>1416</v>
      </c>
      <c r="E517" t="s">
        <v>1417</v>
      </c>
      <c r="F517" t="s">
        <v>154</v>
      </c>
      <c r="G517" t="s">
        <v>155</v>
      </c>
      <c r="H517" t="s">
        <v>316</v>
      </c>
    </row>
    <row r="518" spans="1:8" x14ac:dyDescent="0.3">
      <c r="A518" t="s">
        <v>1418</v>
      </c>
      <c r="B518" t="s">
        <v>1074</v>
      </c>
      <c r="C518" t="s">
        <v>23</v>
      </c>
      <c r="D518" t="s">
        <v>1419</v>
      </c>
      <c r="E518" t="s">
        <v>145</v>
      </c>
      <c r="F518" t="s">
        <v>154</v>
      </c>
      <c r="G518" t="s">
        <v>155</v>
      </c>
      <c r="H518" t="s">
        <v>811</v>
      </c>
    </row>
    <row r="519" spans="1:8" x14ac:dyDescent="0.3">
      <c r="A519" t="s">
        <v>1420</v>
      </c>
      <c r="B519" t="s">
        <v>1074</v>
      </c>
      <c r="C519" t="s">
        <v>46</v>
      </c>
      <c r="D519" t="s">
        <v>1421</v>
      </c>
      <c r="E519" t="s">
        <v>145</v>
      </c>
      <c r="F519" t="s">
        <v>154</v>
      </c>
      <c r="G519" t="s">
        <v>155</v>
      </c>
      <c r="H519" t="s">
        <v>120</v>
      </c>
    </row>
    <row r="520" spans="1:8" x14ac:dyDescent="0.3">
      <c r="A520" t="s">
        <v>1422</v>
      </c>
      <c r="B520" t="s">
        <v>1074</v>
      </c>
      <c r="C520" t="s">
        <v>80</v>
      </c>
      <c r="D520" t="s">
        <v>1423</v>
      </c>
      <c r="E520" t="s">
        <v>220</v>
      </c>
      <c r="F520" t="s">
        <v>154</v>
      </c>
      <c r="G520" t="s">
        <v>107</v>
      </c>
      <c r="H520" t="s">
        <v>150</v>
      </c>
    </row>
    <row r="521" spans="1:8" x14ac:dyDescent="0.3">
      <c r="A521" t="s">
        <v>1424</v>
      </c>
      <c r="B521" t="s">
        <v>952</v>
      </c>
      <c r="C521" t="s">
        <v>72</v>
      </c>
      <c r="D521" t="s">
        <v>1425</v>
      </c>
      <c r="E521" t="s">
        <v>220</v>
      </c>
      <c r="F521" t="s">
        <v>154</v>
      </c>
      <c r="G521" t="s">
        <v>155</v>
      </c>
      <c r="H521" t="s">
        <v>120</v>
      </c>
    </row>
    <row r="522" spans="1:8" x14ac:dyDescent="0.3">
      <c r="A522" t="s">
        <v>1426</v>
      </c>
      <c r="B522" t="s">
        <v>952</v>
      </c>
      <c r="C522" t="s">
        <v>30</v>
      </c>
      <c r="D522" t="s">
        <v>1427</v>
      </c>
      <c r="E522" t="s">
        <v>1417</v>
      </c>
      <c r="F522" t="s">
        <v>154</v>
      </c>
      <c r="G522" t="s">
        <v>155</v>
      </c>
      <c r="H522" t="s">
        <v>259</v>
      </c>
    </row>
    <row r="523" spans="1:8" x14ac:dyDescent="0.3">
      <c r="A523" t="s">
        <v>1428</v>
      </c>
      <c r="B523" t="s">
        <v>952</v>
      </c>
      <c r="C523" t="s">
        <v>74</v>
      </c>
      <c r="D523" t="s">
        <v>1429</v>
      </c>
      <c r="E523" t="s">
        <v>145</v>
      </c>
      <c r="F523" t="s">
        <v>154</v>
      </c>
      <c r="G523" t="s">
        <v>155</v>
      </c>
      <c r="H523" t="s">
        <v>208</v>
      </c>
    </row>
    <row r="524" spans="1:8" x14ac:dyDescent="0.3">
      <c r="A524" t="s">
        <v>1430</v>
      </c>
      <c r="B524" t="s">
        <v>952</v>
      </c>
      <c r="C524" t="s">
        <v>66</v>
      </c>
      <c r="D524" t="s">
        <v>1431</v>
      </c>
      <c r="E524" t="s">
        <v>145</v>
      </c>
      <c r="F524" t="s">
        <v>154</v>
      </c>
      <c r="G524" t="s">
        <v>107</v>
      </c>
      <c r="H524" t="s">
        <v>679</v>
      </c>
    </row>
    <row r="525" spans="1:8" x14ac:dyDescent="0.3">
      <c r="A525" t="s">
        <v>1432</v>
      </c>
      <c r="B525" t="s">
        <v>508</v>
      </c>
      <c r="C525" t="s">
        <v>56</v>
      </c>
      <c r="D525" t="s">
        <v>1433</v>
      </c>
      <c r="E525" t="s">
        <v>1417</v>
      </c>
      <c r="F525" t="s">
        <v>154</v>
      </c>
      <c r="G525" t="s">
        <v>155</v>
      </c>
      <c r="H525" t="s">
        <v>508</v>
      </c>
    </row>
    <row r="526" spans="1:8" x14ac:dyDescent="0.3">
      <c r="A526" t="s">
        <v>1434</v>
      </c>
      <c r="B526" t="s">
        <v>508</v>
      </c>
      <c r="C526" t="s">
        <v>80</v>
      </c>
      <c r="D526" t="s">
        <v>1435</v>
      </c>
      <c r="E526" t="s">
        <v>1417</v>
      </c>
      <c r="F526" t="s">
        <v>154</v>
      </c>
      <c r="G526" t="s">
        <v>155</v>
      </c>
      <c r="H526" t="s">
        <v>281</v>
      </c>
    </row>
    <row r="527" spans="1:8" x14ac:dyDescent="0.3">
      <c r="A527" t="s">
        <v>1436</v>
      </c>
      <c r="B527" t="s">
        <v>508</v>
      </c>
      <c r="C527" t="s">
        <v>74</v>
      </c>
      <c r="D527" t="s">
        <v>1437</v>
      </c>
      <c r="E527" t="s">
        <v>145</v>
      </c>
      <c r="F527" t="s">
        <v>154</v>
      </c>
      <c r="G527" t="s">
        <v>155</v>
      </c>
      <c r="H527" t="s">
        <v>556</v>
      </c>
    </row>
    <row r="528" spans="1:8" x14ac:dyDescent="0.3">
      <c r="A528" t="s">
        <v>1438</v>
      </c>
      <c r="B528" t="s">
        <v>508</v>
      </c>
      <c r="C528" t="s">
        <v>70</v>
      </c>
      <c r="D528" t="s">
        <v>1439</v>
      </c>
      <c r="E528" t="s">
        <v>1417</v>
      </c>
      <c r="F528" t="s">
        <v>154</v>
      </c>
      <c r="G528" t="s">
        <v>107</v>
      </c>
      <c r="H528" t="s">
        <v>323</v>
      </c>
    </row>
    <row r="529" spans="1:8" x14ac:dyDescent="0.3">
      <c r="A529" t="s">
        <v>1440</v>
      </c>
      <c r="B529" t="s">
        <v>171</v>
      </c>
      <c r="C529" t="s">
        <v>25</v>
      </c>
      <c r="D529" t="s">
        <v>1441</v>
      </c>
      <c r="E529" t="s">
        <v>145</v>
      </c>
      <c r="F529" t="s">
        <v>154</v>
      </c>
      <c r="G529" t="s">
        <v>155</v>
      </c>
      <c r="H529" t="s">
        <v>413</v>
      </c>
    </row>
    <row r="530" spans="1:8" x14ac:dyDescent="0.3">
      <c r="A530" t="s">
        <v>1442</v>
      </c>
      <c r="B530" t="s">
        <v>171</v>
      </c>
      <c r="C530" t="s">
        <v>23</v>
      </c>
      <c r="D530" t="s">
        <v>1443</v>
      </c>
      <c r="E530" t="s">
        <v>220</v>
      </c>
      <c r="F530" t="s">
        <v>154</v>
      </c>
      <c r="G530" t="s">
        <v>155</v>
      </c>
      <c r="H530" t="s">
        <v>176</v>
      </c>
    </row>
    <row r="531" spans="1:8" x14ac:dyDescent="0.3">
      <c r="A531" t="s">
        <v>1444</v>
      </c>
      <c r="B531" t="s">
        <v>171</v>
      </c>
      <c r="C531" t="s">
        <v>43</v>
      </c>
      <c r="D531" t="s">
        <v>1445</v>
      </c>
      <c r="E531" t="s">
        <v>220</v>
      </c>
      <c r="F531" t="s">
        <v>154</v>
      </c>
      <c r="G531" t="s">
        <v>155</v>
      </c>
      <c r="H531" t="s">
        <v>592</v>
      </c>
    </row>
    <row r="532" spans="1:8" x14ac:dyDescent="0.3">
      <c r="A532" t="s">
        <v>1446</v>
      </c>
      <c r="B532" t="s">
        <v>171</v>
      </c>
      <c r="C532" t="s">
        <v>84</v>
      </c>
      <c r="D532" t="s">
        <v>1447</v>
      </c>
      <c r="E532" t="s">
        <v>145</v>
      </c>
      <c r="F532" t="s">
        <v>154</v>
      </c>
      <c r="G532" t="s">
        <v>107</v>
      </c>
      <c r="H532" t="s">
        <v>413</v>
      </c>
    </row>
    <row r="533" spans="1:8" x14ac:dyDescent="0.3">
      <c r="A533" t="s">
        <v>1448</v>
      </c>
      <c r="B533" t="s">
        <v>110</v>
      </c>
      <c r="C533" t="s">
        <v>41</v>
      </c>
      <c r="D533" t="s">
        <v>1449</v>
      </c>
      <c r="E533" t="s">
        <v>1417</v>
      </c>
      <c r="F533" t="s">
        <v>154</v>
      </c>
      <c r="G533" t="s">
        <v>155</v>
      </c>
      <c r="H533" t="s">
        <v>592</v>
      </c>
    </row>
    <row r="534" spans="1:8" x14ac:dyDescent="0.3">
      <c r="A534" t="s">
        <v>1450</v>
      </c>
      <c r="B534" t="s">
        <v>110</v>
      </c>
      <c r="C534" t="s">
        <v>34</v>
      </c>
      <c r="D534" t="s">
        <v>1451</v>
      </c>
      <c r="E534" t="s">
        <v>220</v>
      </c>
      <c r="F534" t="s">
        <v>154</v>
      </c>
      <c r="G534" t="s">
        <v>155</v>
      </c>
      <c r="H534" t="s">
        <v>316</v>
      </c>
    </row>
    <row r="535" spans="1:8" x14ac:dyDescent="0.3">
      <c r="A535" t="s">
        <v>1452</v>
      </c>
      <c r="B535" t="s">
        <v>110</v>
      </c>
      <c r="C535" t="s">
        <v>64</v>
      </c>
      <c r="D535" t="s">
        <v>1453</v>
      </c>
      <c r="E535" t="s">
        <v>145</v>
      </c>
      <c r="F535" t="s">
        <v>154</v>
      </c>
      <c r="G535" t="s">
        <v>155</v>
      </c>
      <c r="H535" t="s">
        <v>301</v>
      </c>
    </row>
    <row r="536" spans="1:8" x14ac:dyDescent="0.3">
      <c r="A536" t="s">
        <v>1454</v>
      </c>
      <c r="B536" t="s">
        <v>110</v>
      </c>
      <c r="C536" t="s">
        <v>70</v>
      </c>
      <c r="D536" t="s">
        <v>1455</v>
      </c>
      <c r="E536" t="s">
        <v>220</v>
      </c>
      <c r="F536" t="s">
        <v>154</v>
      </c>
      <c r="G536" t="s">
        <v>107</v>
      </c>
      <c r="H536" t="s">
        <v>316</v>
      </c>
    </row>
    <row r="537" spans="1:8" x14ac:dyDescent="0.3">
      <c r="A537" t="s">
        <v>1456</v>
      </c>
      <c r="B537" t="s">
        <v>261</v>
      </c>
      <c r="C537" t="s">
        <v>39</v>
      </c>
      <c r="D537" t="s">
        <v>1457</v>
      </c>
      <c r="E537" t="s">
        <v>145</v>
      </c>
      <c r="F537" t="s">
        <v>154</v>
      </c>
      <c r="G537" t="s">
        <v>155</v>
      </c>
      <c r="H537" t="s">
        <v>567</v>
      </c>
    </row>
    <row r="538" spans="1:8" x14ac:dyDescent="0.3">
      <c r="A538" t="s">
        <v>1458</v>
      </c>
      <c r="B538" t="s">
        <v>261</v>
      </c>
      <c r="C538" t="s">
        <v>17</v>
      </c>
      <c r="D538" t="s">
        <v>1459</v>
      </c>
      <c r="E538" t="s">
        <v>220</v>
      </c>
      <c r="F538" t="s">
        <v>154</v>
      </c>
      <c r="G538" t="s">
        <v>155</v>
      </c>
      <c r="H538" t="s">
        <v>811</v>
      </c>
    </row>
    <row r="539" spans="1:8" x14ac:dyDescent="0.3">
      <c r="A539" t="s">
        <v>1460</v>
      </c>
      <c r="B539" t="s">
        <v>261</v>
      </c>
      <c r="C539" t="s">
        <v>82</v>
      </c>
      <c r="D539" t="s">
        <v>1461</v>
      </c>
      <c r="E539" t="s">
        <v>145</v>
      </c>
      <c r="F539" t="s">
        <v>154</v>
      </c>
      <c r="G539" t="s">
        <v>155</v>
      </c>
      <c r="H539" t="s">
        <v>519</v>
      </c>
    </row>
    <row r="540" spans="1:8" x14ac:dyDescent="0.3">
      <c r="A540" t="s">
        <v>1462</v>
      </c>
      <c r="B540" t="s">
        <v>261</v>
      </c>
      <c r="C540" t="s">
        <v>54</v>
      </c>
      <c r="D540" t="s">
        <v>1463</v>
      </c>
      <c r="E540" t="s">
        <v>145</v>
      </c>
      <c r="F540" t="s">
        <v>154</v>
      </c>
      <c r="G540" t="s">
        <v>107</v>
      </c>
      <c r="H540" t="s">
        <v>385</v>
      </c>
    </row>
    <row r="541" spans="1:8" x14ac:dyDescent="0.3">
      <c r="A541" t="s">
        <v>1464</v>
      </c>
      <c r="B541" t="s">
        <v>191</v>
      </c>
      <c r="C541" t="s">
        <v>76</v>
      </c>
      <c r="D541" t="s">
        <v>1465</v>
      </c>
      <c r="E541" t="s">
        <v>220</v>
      </c>
      <c r="F541" t="s">
        <v>154</v>
      </c>
      <c r="G541" t="s">
        <v>155</v>
      </c>
      <c r="H541" t="s">
        <v>409</v>
      </c>
    </row>
    <row r="542" spans="1:8" x14ac:dyDescent="0.3">
      <c r="A542" t="s">
        <v>1466</v>
      </c>
      <c r="B542" t="s">
        <v>191</v>
      </c>
      <c r="C542" t="s">
        <v>91</v>
      </c>
      <c r="D542" t="s">
        <v>1467</v>
      </c>
      <c r="E542" t="s">
        <v>1417</v>
      </c>
      <c r="F542" t="s">
        <v>154</v>
      </c>
      <c r="G542" t="s">
        <v>155</v>
      </c>
      <c r="H542" t="s">
        <v>108</v>
      </c>
    </row>
    <row r="543" spans="1:8" x14ac:dyDescent="0.3">
      <c r="A543" t="s">
        <v>1468</v>
      </c>
      <c r="B543" t="s">
        <v>191</v>
      </c>
      <c r="C543" t="s">
        <v>89</v>
      </c>
      <c r="D543" t="s">
        <v>1469</v>
      </c>
      <c r="E543" t="s">
        <v>145</v>
      </c>
      <c r="F543" t="s">
        <v>154</v>
      </c>
      <c r="G543" t="s">
        <v>155</v>
      </c>
      <c r="H543" t="s">
        <v>281</v>
      </c>
    </row>
    <row r="544" spans="1:8" x14ac:dyDescent="0.3">
      <c r="A544" t="s">
        <v>1470</v>
      </c>
      <c r="B544" t="s">
        <v>191</v>
      </c>
      <c r="C544" t="s">
        <v>58</v>
      </c>
      <c r="D544" t="s">
        <v>1471</v>
      </c>
      <c r="E544" t="s">
        <v>1417</v>
      </c>
      <c r="F544" t="s">
        <v>154</v>
      </c>
      <c r="G544" t="s">
        <v>107</v>
      </c>
      <c r="H544" t="s">
        <v>592</v>
      </c>
    </row>
    <row r="545" spans="1:8" x14ac:dyDescent="0.3">
      <c r="A545" t="s">
        <v>1472</v>
      </c>
      <c r="B545" t="s">
        <v>1197</v>
      </c>
      <c r="C545" t="s">
        <v>93</v>
      </c>
      <c r="D545" t="s">
        <v>1473</v>
      </c>
      <c r="E545" t="s">
        <v>220</v>
      </c>
      <c r="F545" t="s">
        <v>154</v>
      </c>
      <c r="G545" t="s">
        <v>155</v>
      </c>
      <c r="H545" t="s">
        <v>630</v>
      </c>
    </row>
    <row r="546" spans="1:8" x14ac:dyDescent="0.3">
      <c r="A546" t="s">
        <v>1474</v>
      </c>
      <c r="B546" t="s">
        <v>1197</v>
      </c>
      <c r="C546" t="s">
        <v>28</v>
      </c>
      <c r="D546" t="s">
        <v>1475</v>
      </c>
      <c r="E546" t="s">
        <v>1417</v>
      </c>
      <c r="F546" t="s">
        <v>154</v>
      </c>
      <c r="G546" t="s">
        <v>155</v>
      </c>
      <c r="H546" t="s">
        <v>679</v>
      </c>
    </row>
    <row r="547" spans="1:8" x14ac:dyDescent="0.3">
      <c r="A547" t="s">
        <v>1476</v>
      </c>
      <c r="B547" t="s">
        <v>1197</v>
      </c>
      <c r="C547" t="s">
        <v>43</v>
      </c>
      <c r="D547" t="s">
        <v>1477</v>
      </c>
      <c r="E547" t="s">
        <v>1417</v>
      </c>
      <c r="F547" t="s">
        <v>154</v>
      </c>
      <c r="G547" t="s">
        <v>155</v>
      </c>
      <c r="H547" t="s">
        <v>679</v>
      </c>
    </row>
    <row r="548" spans="1:8" x14ac:dyDescent="0.3">
      <c r="A548" t="s">
        <v>1478</v>
      </c>
      <c r="B548" t="s">
        <v>1197</v>
      </c>
      <c r="C548" t="s">
        <v>34</v>
      </c>
      <c r="D548" t="s">
        <v>1479</v>
      </c>
      <c r="E548" t="s">
        <v>1417</v>
      </c>
      <c r="F548" t="s">
        <v>154</v>
      </c>
      <c r="G548" t="s">
        <v>107</v>
      </c>
      <c r="H548" t="s">
        <v>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8"/>
  <sheetViews>
    <sheetView workbookViewId="0">
      <selection activeCell="M552" sqref="M552"/>
    </sheetView>
  </sheetViews>
  <sheetFormatPr defaultRowHeight="14.4" x14ac:dyDescent="0.3"/>
  <cols>
    <col min="1" max="15" width="18" customWidth="1"/>
  </cols>
  <sheetData>
    <row r="1" spans="1:15" x14ac:dyDescent="0.3">
      <c r="A1" s="1" t="s">
        <v>95</v>
      </c>
      <c r="B1" s="1" t="s">
        <v>96</v>
      </c>
      <c r="C1" s="1" t="s">
        <v>0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</v>
      </c>
      <c r="J1" s="1" t="s">
        <v>2</v>
      </c>
      <c r="K1" s="1" t="s">
        <v>3</v>
      </c>
      <c r="L1" s="1" t="s">
        <v>1480</v>
      </c>
      <c r="M1" s="1" t="s">
        <v>1481</v>
      </c>
      <c r="N1" s="1" t="s">
        <v>1482</v>
      </c>
      <c r="O1" s="1" t="s">
        <v>1483</v>
      </c>
    </row>
    <row r="2" spans="1:15" x14ac:dyDescent="0.3">
      <c r="A2" t="s">
        <v>102</v>
      </c>
      <c r="B2" t="s">
        <v>103</v>
      </c>
      <c r="C2" t="s">
        <v>43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tr">
        <f>_xlfn.IFNA(VLOOKUP(C2,merchants!$A$2:$D$41,2,FALSE),"Merchant not found")</f>
        <v>Merchant_016</v>
      </c>
      <c r="J2" t="str">
        <f>_xlfn.IFNA(VLOOKUP(C2,merchants!$A$2:$D$41,3,FALSE),"Merchant not found")</f>
        <v>bill_payment</v>
      </c>
      <c r="K2" t="str">
        <f>_xlfn.IFNA(VLOOKUP(C2,merchants!$A$2:$D$41,4,FALSE),"Merchant not found")</f>
        <v>West</v>
      </c>
      <c r="L2">
        <f t="shared" ref="L2:L65" si="0">DATE(LEFT(D2,4),MID(D2,6,2),MID(D2,9,2))</f>
        <v>46051</v>
      </c>
      <c r="M2">
        <f t="shared" ref="M2:M65" si="1">SUMIFS($E:$E,$C:$C,C2,$L:$L,L2)</f>
        <v>0</v>
      </c>
      <c r="N2" t="str">
        <f t="shared" ref="N2:N65" si="2">IF(AND(M2&gt;5000,K2&lt;&gt;"East"),"High-Value Merchant Day","Standard")</f>
        <v>Standard</v>
      </c>
      <c r="O2">
        <f>HLOOKUP(F2,fee_lookup!$B$1:$E$2,2,FALSE)</f>
        <v>0.01</v>
      </c>
    </row>
    <row r="3" spans="1:15" x14ac:dyDescent="0.3">
      <c r="A3" t="s">
        <v>109</v>
      </c>
      <c r="B3" t="s">
        <v>110</v>
      </c>
      <c r="C3" t="s">
        <v>66</v>
      </c>
      <c r="D3" t="s">
        <v>111</v>
      </c>
      <c r="E3" t="s">
        <v>112</v>
      </c>
      <c r="F3" t="s">
        <v>113</v>
      </c>
      <c r="G3" t="s">
        <v>107</v>
      </c>
      <c r="H3" t="s">
        <v>114</v>
      </c>
      <c r="I3" t="str">
        <f>_xlfn.IFNA(VLOOKUP(C3,merchants!$A$2:$D$41,2,FALSE),"Merchant not found")</f>
        <v>Merchant_027</v>
      </c>
      <c r="J3" t="str">
        <f>_xlfn.IFNA(VLOOKUP(C3,merchants!$A$2:$D$41,3,FALSE),"Merchant not found")</f>
        <v>ecommerce</v>
      </c>
      <c r="K3" t="str">
        <f>_xlfn.IFNA(VLOOKUP(C3,merchants!$A$2:$D$41,4,FALSE),"Merchant not found")</f>
        <v>North</v>
      </c>
      <c r="L3">
        <f t="shared" si="0"/>
        <v>46026</v>
      </c>
      <c r="M3">
        <f t="shared" si="1"/>
        <v>0</v>
      </c>
      <c r="N3" t="str">
        <f t="shared" si="2"/>
        <v>Standard</v>
      </c>
      <c r="O3">
        <f>HLOOKUP(F3,fee_lookup!$B$1:$E$2,2,FALSE)</f>
        <v>2E-3</v>
      </c>
    </row>
    <row r="4" spans="1:15" x14ac:dyDescent="0.3">
      <c r="A4" t="s">
        <v>115</v>
      </c>
      <c r="B4" t="s">
        <v>116</v>
      </c>
      <c r="C4" t="s">
        <v>32</v>
      </c>
      <c r="D4" t="s">
        <v>117</v>
      </c>
      <c r="E4" t="s">
        <v>118</v>
      </c>
      <c r="F4" t="s">
        <v>106</v>
      </c>
      <c r="G4" t="s">
        <v>107</v>
      </c>
      <c r="H4" t="s">
        <v>56</v>
      </c>
      <c r="I4" t="str">
        <f>_xlfn.IFNA(VLOOKUP(C4,merchants!$A$2:$D$41,2,FALSE),"Merchant not found")</f>
        <v>Merchant_011</v>
      </c>
      <c r="J4" t="str">
        <f>_xlfn.IFNA(VLOOKUP(C4,merchants!$A$2:$D$41,3,FALSE),"Merchant not found")</f>
        <v>ecommerce</v>
      </c>
      <c r="K4" t="str">
        <f>_xlfn.IFNA(VLOOKUP(C4,merchants!$A$2:$D$41,4,FALSE),"Merchant not found")</f>
        <v>North</v>
      </c>
      <c r="L4">
        <f t="shared" si="0"/>
        <v>46046</v>
      </c>
      <c r="M4">
        <f t="shared" si="1"/>
        <v>0</v>
      </c>
      <c r="N4" t="str">
        <f t="shared" si="2"/>
        <v>Standard</v>
      </c>
      <c r="O4">
        <f>HLOOKUP(F4,fee_lookup!$B$1:$E$2,2,FALSE)</f>
        <v>0.01</v>
      </c>
    </row>
    <row r="5" spans="1:15" x14ac:dyDescent="0.3">
      <c r="A5" t="s">
        <v>119</v>
      </c>
      <c r="B5" t="s">
        <v>120</v>
      </c>
      <c r="C5" t="s">
        <v>56</v>
      </c>
      <c r="D5" t="s">
        <v>121</v>
      </c>
      <c r="E5" t="s">
        <v>112</v>
      </c>
      <c r="F5" t="s">
        <v>122</v>
      </c>
      <c r="G5" t="s">
        <v>107</v>
      </c>
      <c r="H5" t="s">
        <v>123</v>
      </c>
      <c r="I5" t="str">
        <f>_xlfn.IFNA(VLOOKUP(C5,merchants!$A$2:$D$41,2,FALSE),"Merchant not found")</f>
        <v>Merchant_022</v>
      </c>
      <c r="J5" t="str">
        <f>_xlfn.IFNA(VLOOKUP(C5,merchants!$A$2:$D$41,3,FALSE),"Merchant not found")</f>
        <v>travel</v>
      </c>
      <c r="K5" t="str">
        <f>_xlfn.IFNA(VLOOKUP(C5,merchants!$A$2:$D$41,4,FALSE),"Merchant not found")</f>
        <v>South</v>
      </c>
      <c r="L5">
        <f t="shared" si="0"/>
        <v>46051</v>
      </c>
      <c r="M5">
        <f t="shared" si="1"/>
        <v>0</v>
      </c>
      <c r="N5" t="str">
        <f t="shared" si="2"/>
        <v>Standard</v>
      </c>
      <c r="O5">
        <f>HLOOKUP(F5,fee_lookup!$B$1:$E$2,2,FALSE)</f>
        <v>1.2E-2</v>
      </c>
    </row>
    <row r="6" spans="1:15" x14ac:dyDescent="0.3">
      <c r="A6" t="s">
        <v>124</v>
      </c>
      <c r="B6" t="s">
        <v>125</v>
      </c>
      <c r="C6" t="s">
        <v>43</v>
      </c>
      <c r="D6" t="s">
        <v>126</v>
      </c>
      <c r="E6" t="s">
        <v>127</v>
      </c>
      <c r="F6" t="s">
        <v>113</v>
      </c>
      <c r="G6" t="s">
        <v>107</v>
      </c>
      <c r="H6" t="s">
        <v>80</v>
      </c>
      <c r="I6" t="str">
        <f>_xlfn.IFNA(VLOOKUP(C6,merchants!$A$2:$D$41,2,FALSE),"Merchant not found")</f>
        <v>Merchant_016</v>
      </c>
      <c r="J6" t="str">
        <f>_xlfn.IFNA(VLOOKUP(C6,merchants!$A$2:$D$41,3,FALSE),"Merchant not found")</f>
        <v>bill_payment</v>
      </c>
      <c r="K6" t="str">
        <f>_xlfn.IFNA(VLOOKUP(C6,merchants!$A$2:$D$41,4,FALSE),"Merchant not found")</f>
        <v>West</v>
      </c>
      <c r="L6">
        <f t="shared" si="0"/>
        <v>46052</v>
      </c>
      <c r="M6">
        <f t="shared" si="1"/>
        <v>0</v>
      </c>
      <c r="N6" t="str">
        <f t="shared" si="2"/>
        <v>Standard</v>
      </c>
      <c r="O6">
        <f>HLOOKUP(F6,fee_lookup!$B$1:$E$2,2,FALSE)</f>
        <v>2E-3</v>
      </c>
    </row>
    <row r="7" spans="1:15" x14ac:dyDescent="0.3">
      <c r="A7" t="s">
        <v>128</v>
      </c>
      <c r="B7" t="s">
        <v>129</v>
      </c>
      <c r="C7" t="s">
        <v>12</v>
      </c>
      <c r="D7" t="s">
        <v>130</v>
      </c>
      <c r="E7" t="s">
        <v>127</v>
      </c>
      <c r="F7" t="s">
        <v>113</v>
      </c>
      <c r="G7" t="s">
        <v>107</v>
      </c>
      <c r="H7" t="s">
        <v>131</v>
      </c>
      <c r="I7" t="str">
        <f>_xlfn.IFNA(VLOOKUP(C7,merchants!$A$2:$D$41,2,FALSE),"Merchant not found")</f>
        <v>Merchant_003</v>
      </c>
      <c r="J7" t="str">
        <f>_xlfn.IFNA(VLOOKUP(C7,merchants!$A$2:$D$41,3,FALSE),"Merchant not found")</f>
        <v>grocery</v>
      </c>
      <c r="K7" t="str">
        <f>_xlfn.IFNA(VLOOKUP(C7,merchants!$A$2:$D$41,4,FALSE),"Merchant not found")</f>
        <v>East</v>
      </c>
      <c r="L7">
        <f t="shared" si="0"/>
        <v>46028</v>
      </c>
      <c r="M7">
        <f t="shared" si="1"/>
        <v>0</v>
      </c>
      <c r="N7" t="str">
        <f t="shared" si="2"/>
        <v>Standard</v>
      </c>
      <c r="O7">
        <f>HLOOKUP(F7,fee_lookup!$B$1:$E$2,2,FALSE)</f>
        <v>2E-3</v>
      </c>
    </row>
    <row r="8" spans="1:15" x14ac:dyDescent="0.3">
      <c r="A8" t="s">
        <v>132</v>
      </c>
      <c r="B8" t="s">
        <v>133</v>
      </c>
      <c r="C8" t="s">
        <v>58</v>
      </c>
      <c r="D8" t="s">
        <v>134</v>
      </c>
      <c r="E8" t="s">
        <v>127</v>
      </c>
      <c r="F8" t="s">
        <v>106</v>
      </c>
      <c r="G8" t="s">
        <v>107</v>
      </c>
      <c r="H8" t="s">
        <v>91</v>
      </c>
      <c r="I8" t="str">
        <f>_xlfn.IFNA(VLOOKUP(C8,merchants!$A$2:$D$41,2,FALSE),"Merchant not found")</f>
        <v>Merchant_023</v>
      </c>
      <c r="J8" t="str">
        <f>_xlfn.IFNA(VLOOKUP(C8,merchants!$A$2:$D$41,3,FALSE),"Merchant not found")</f>
        <v>travel</v>
      </c>
      <c r="K8" t="str">
        <f>_xlfn.IFNA(VLOOKUP(C8,merchants!$A$2:$D$41,4,FALSE),"Merchant not found")</f>
        <v>North</v>
      </c>
      <c r="L8">
        <f t="shared" si="0"/>
        <v>46030</v>
      </c>
      <c r="M8">
        <f t="shared" si="1"/>
        <v>0</v>
      </c>
      <c r="N8" t="str">
        <f t="shared" si="2"/>
        <v>Standard</v>
      </c>
      <c r="O8">
        <f>HLOOKUP(F8,fee_lookup!$B$1:$E$2,2,FALSE)</f>
        <v>0.01</v>
      </c>
    </row>
    <row r="9" spans="1:15" x14ac:dyDescent="0.3">
      <c r="A9" t="s">
        <v>135</v>
      </c>
      <c r="B9" t="s">
        <v>36</v>
      </c>
      <c r="C9" t="s">
        <v>36</v>
      </c>
      <c r="D9" t="s">
        <v>136</v>
      </c>
      <c r="E9" t="s">
        <v>127</v>
      </c>
      <c r="F9" t="s">
        <v>113</v>
      </c>
      <c r="G9" t="s">
        <v>107</v>
      </c>
      <c r="H9" t="s">
        <v>137</v>
      </c>
      <c r="I9" t="str">
        <f>_xlfn.IFNA(VLOOKUP(C9,merchants!$A$2:$D$41,2,FALSE),"Merchant not found")</f>
        <v>Merchant_013</v>
      </c>
      <c r="J9" t="str">
        <f>_xlfn.IFNA(VLOOKUP(C9,merchants!$A$2:$D$41,3,FALSE),"Merchant not found")</f>
        <v>travel</v>
      </c>
      <c r="K9" t="str">
        <f>_xlfn.IFNA(VLOOKUP(C9,merchants!$A$2:$D$41,4,FALSE),"Merchant not found")</f>
        <v>East</v>
      </c>
      <c r="L9">
        <f t="shared" si="0"/>
        <v>46049</v>
      </c>
      <c r="M9">
        <f t="shared" si="1"/>
        <v>0</v>
      </c>
      <c r="N9" t="str">
        <f t="shared" si="2"/>
        <v>Standard</v>
      </c>
      <c r="O9">
        <f>HLOOKUP(F9,fee_lookup!$B$1:$E$2,2,FALSE)</f>
        <v>2E-3</v>
      </c>
    </row>
    <row r="10" spans="1:15" x14ac:dyDescent="0.3">
      <c r="A10" t="s">
        <v>138</v>
      </c>
      <c r="B10" t="s">
        <v>84</v>
      </c>
      <c r="C10" t="s">
        <v>48</v>
      </c>
      <c r="D10" t="s">
        <v>139</v>
      </c>
      <c r="E10" t="s">
        <v>140</v>
      </c>
      <c r="F10" t="s">
        <v>113</v>
      </c>
      <c r="G10" t="s">
        <v>107</v>
      </c>
      <c r="H10" t="s">
        <v>141</v>
      </c>
      <c r="I10" t="str">
        <f>_xlfn.IFNA(VLOOKUP(C10,merchants!$A$2:$D$41,2,FALSE),"Merchant not found")</f>
        <v>Merchant_018</v>
      </c>
      <c r="J10" t="str">
        <f>_xlfn.IFNA(VLOOKUP(C10,merchants!$A$2:$D$41,3,FALSE),"Merchant not found")</f>
        <v>grocery</v>
      </c>
      <c r="K10" t="str">
        <f>_xlfn.IFNA(VLOOKUP(C10,merchants!$A$2:$D$41,4,FALSE),"Merchant not found")</f>
        <v>West</v>
      </c>
      <c r="L10">
        <f t="shared" si="0"/>
        <v>46033</v>
      </c>
      <c r="M10">
        <f t="shared" si="1"/>
        <v>0</v>
      </c>
      <c r="N10" t="str">
        <f t="shared" si="2"/>
        <v>Standard</v>
      </c>
      <c r="O10">
        <f>HLOOKUP(F10,fee_lookup!$B$1:$E$2,2,FALSE)</f>
        <v>2E-3</v>
      </c>
    </row>
    <row r="11" spans="1:15" x14ac:dyDescent="0.3">
      <c r="A11" t="s">
        <v>142</v>
      </c>
      <c r="B11" t="s">
        <v>143</v>
      </c>
      <c r="C11" t="s">
        <v>82</v>
      </c>
      <c r="D11" t="s">
        <v>144</v>
      </c>
      <c r="E11" t="s">
        <v>145</v>
      </c>
      <c r="F11" t="s">
        <v>113</v>
      </c>
      <c r="G11" t="s">
        <v>107</v>
      </c>
      <c r="H11" t="s">
        <v>146</v>
      </c>
      <c r="I11" t="str">
        <f>_xlfn.IFNA(VLOOKUP(C11,merchants!$A$2:$D$41,2,FALSE),"Merchant not found")</f>
        <v>Merchant_035</v>
      </c>
      <c r="J11" t="str">
        <f>_xlfn.IFNA(VLOOKUP(C11,merchants!$A$2:$D$41,3,FALSE),"Merchant not found")</f>
        <v>recharge</v>
      </c>
      <c r="K11" t="str">
        <f>_xlfn.IFNA(VLOOKUP(C11,merchants!$A$2:$D$41,4,FALSE),"Merchant not found")</f>
        <v>East</v>
      </c>
      <c r="L11">
        <f t="shared" si="0"/>
        <v>46043</v>
      </c>
      <c r="M11">
        <f t="shared" si="1"/>
        <v>0</v>
      </c>
      <c r="N11" t="str">
        <f t="shared" si="2"/>
        <v>Standard</v>
      </c>
      <c r="O11">
        <f>HLOOKUP(F11,fee_lookup!$B$1:$E$2,2,FALSE)</f>
        <v>2E-3</v>
      </c>
    </row>
    <row r="12" spans="1:15" x14ac:dyDescent="0.3">
      <c r="A12" t="s">
        <v>147</v>
      </c>
      <c r="B12" t="s">
        <v>148</v>
      </c>
      <c r="C12" t="s">
        <v>34</v>
      </c>
      <c r="D12" t="s">
        <v>149</v>
      </c>
      <c r="E12" t="s">
        <v>112</v>
      </c>
      <c r="F12" t="s">
        <v>113</v>
      </c>
      <c r="G12" t="s">
        <v>107</v>
      </c>
      <c r="H12" t="s">
        <v>150</v>
      </c>
      <c r="I12" t="str">
        <f>_xlfn.IFNA(VLOOKUP(C12,merchants!$A$2:$D$41,2,FALSE),"Merchant not found")</f>
        <v>Merchant_012</v>
      </c>
      <c r="J12" t="str">
        <f>_xlfn.IFNA(VLOOKUP(C12,merchants!$A$2:$D$41,3,FALSE),"Merchant not found")</f>
        <v>ecommerce</v>
      </c>
      <c r="K12" t="str">
        <f>_xlfn.IFNA(VLOOKUP(C12,merchants!$A$2:$D$41,4,FALSE),"Merchant not found")</f>
        <v>East</v>
      </c>
      <c r="L12">
        <f t="shared" si="0"/>
        <v>46023</v>
      </c>
      <c r="M12">
        <f t="shared" si="1"/>
        <v>0</v>
      </c>
      <c r="N12" t="str">
        <f t="shared" si="2"/>
        <v>Standard</v>
      </c>
      <c r="O12">
        <f>HLOOKUP(F12,fee_lookup!$B$1:$E$2,2,FALSE)</f>
        <v>2E-3</v>
      </c>
    </row>
    <row r="13" spans="1:15" x14ac:dyDescent="0.3">
      <c r="A13" t="s">
        <v>151</v>
      </c>
      <c r="B13" t="s">
        <v>152</v>
      </c>
      <c r="C13" t="s">
        <v>68</v>
      </c>
      <c r="D13" t="s">
        <v>153</v>
      </c>
      <c r="E13" t="s">
        <v>105</v>
      </c>
      <c r="F13" t="s">
        <v>154</v>
      </c>
      <c r="G13" t="s">
        <v>155</v>
      </c>
      <c r="H13" t="s">
        <v>141</v>
      </c>
      <c r="I13" t="str">
        <f>_xlfn.IFNA(VLOOKUP(C13,merchants!$A$2:$D$41,2,FALSE),"Merchant not found")</f>
        <v>Merchant_028</v>
      </c>
      <c r="J13" t="str">
        <f>_xlfn.IFNA(VLOOKUP(C13,merchants!$A$2:$D$41,3,FALSE),"Merchant not found")</f>
        <v>ecommerce</v>
      </c>
      <c r="K13" t="str">
        <f>_xlfn.IFNA(VLOOKUP(C13,merchants!$A$2:$D$41,4,FALSE),"Merchant not found")</f>
        <v>South</v>
      </c>
      <c r="L13">
        <f t="shared" si="0"/>
        <v>46031</v>
      </c>
      <c r="M13">
        <f t="shared" si="1"/>
        <v>0</v>
      </c>
      <c r="N13" t="str">
        <f t="shared" si="2"/>
        <v>Standard</v>
      </c>
      <c r="O13">
        <f>HLOOKUP(F13,fee_lookup!$B$1:$E$2,2,FALSE)</f>
        <v>1.7999999999999999E-2</v>
      </c>
    </row>
    <row r="14" spans="1:15" x14ac:dyDescent="0.3">
      <c r="A14" t="s">
        <v>156</v>
      </c>
      <c r="B14" t="s">
        <v>157</v>
      </c>
      <c r="C14" t="s">
        <v>78</v>
      </c>
      <c r="D14" t="s">
        <v>158</v>
      </c>
      <c r="E14" t="s">
        <v>112</v>
      </c>
      <c r="F14" t="s">
        <v>106</v>
      </c>
      <c r="G14" t="s">
        <v>107</v>
      </c>
      <c r="H14" t="s">
        <v>39</v>
      </c>
      <c r="I14" t="str">
        <f>_xlfn.IFNA(VLOOKUP(C14,merchants!$A$2:$D$41,2,FALSE),"Merchant not found")</f>
        <v>Merchant_033</v>
      </c>
      <c r="J14" t="str">
        <f>_xlfn.IFNA(VLOOKUP(C14,merchants!$A$2:$D$41,3,FALSE),"Merchant not found")</f>
        <v>bill_payment</v>
      </c>
      <c r="K14" t="str">
        <f>_xlfn.IFNA(VLOOKUP(C14,merchants!$A$2:$D$41,4,FALSE),"Merchant not found")</f>
        <v>East</v>
      </c>
      <c r="L14">
        <f t="shared" si="0"/>
        <v>46046</v>
      </c>
      <c r="M14">
        <f t="shared" si="1"/>
        <v>0</v>
      </c>
      <c r="N14" t="str">
        <f t="shared" si="2"/>
        <v>Standard</v>
      </c>
      <c r="O14">
        <f>HLOOKUP(F14,fee_lookup!$B$1:$E$2,2,FALSE)</f>
        <v>0.01</v>
      </c>
    </row>
    <row r="15" spans="1:15" x14ac:dyDescent="0.3">
      <c r="A15" t="s">
        <v>159</v>
      </c>
      <c r="B15" t="s">
        <v>160</v>
      </c>
      <c r="C15" t="s">
        <v>12</v>
      </c>
      <c r="D15" t="s">
        <v>161</v>
      </c>
      <c r="E15" t="s">
        <v>112</v>
      </c>
      <c r="F15" t="s">
        <v>113</v>
      </c>
      <c r="G15" t="s">
        <v>107</v>
      </c>
      <c r="H15" t="s">
        <v>162</v>
      </c>
      <c r="I15" t="str">
        <f>_xlfn.IFNA(VLOOKUP(C15,merchants!$A$2:$D$41,2,FALSE),"Merchant not found")</f>
        <v>Merchant_003</v>
      </c>
      <c r="J15" t="str">
        <f>_xlfn.IFNA(VLOOKUP(C15,merchants!$A$2:$D$41,3,FALSE),"Merchant not found")</f>
        <v>grocery</v>
      </c>
      <c r="K15" t="str">
        <f>_xlfn.IFNA(VLOOKUP(C15,merchants!$A$2:$D$41,4,FALSE),"Merchant not found")</f>
        <v>East</v>
      </c>
      <c r="L15">
        <f t="shared" si="0"/>
        <v>46035</v>
      </c>
      <c r="M15">
        <f t="shared" si="1"/>
        <v>0</v>
      </c>
      <c r="N15" t="str">
        <f t="shared" si="2"/>
        <v>Standard</v>
      </c>
      <c r="O15">
        <f>HLOOKUP(F15,fee_lookup!$B$1:$E$2,2,FALSE)</f>
        <v>2E-3</v>
      </c>
    </row>
    <row r="16" spans="1:15" x14ac:dyDescent="0.3">
      <c r="A16" t="s">
        <v>163</v>
      </c>
      <c r="B16" t="s">
        <v>164</v>
      </c>
      <c r="C16" t="s">
        <v>36</v>
      </c>
      <c r="D16" t="s">
        <v>165</v>
      </c>
      <c r="E16" t="s">
        <v>118</v>
      </c>
      <c r="F16" t="s">
        <v>113</v>
      </c>
      <c r="G16" t="s">
        <v>107</v>
      </c>
      <c r="H16" t="s">
        <v>166</v>
      </c>
      <c r="I16" t="str">
        <f>_xlfn.IFNA(VLOOKUP(C16,merchants!$A$2:$D$41,2,FALSE),"Merchant not found")</f>
        <v>Merchant_013</v>
      </c>
      <c r="J16" t="str">
        <f>_xlfn.IFNA(VLOOKUP(C16,merchants!$A$2:$D$41,3,FALSE),"Merchant not found")</f>
        <v>travel</v>
      </c>
      <c r="K16" t="str">
        <f>_xlfn.IFNA(VLOOKUP(C16,merchants!$A$2:$D$41,4,FALSE),"Merchant not found")</f>
        <v>East</v>
      </c>
      <c r="L16">
        <f t="shared" si="0"/>
        <v>46036</v>
      </c>
      <c r="M16">
        <f t="shared" si="1"/>
        <v>0</v>
      </c>
      <c r="N16" t="str">
        <f t="shared" si="2"/>
        <v>Standard</v>
      </c>
      <c r="O16">
        <f>HLOOKUP(F16,fee_lookup!$B$1:$E$2,2,FALSE)</f>
        <v>2E-3</v>
      </c>
    </row>
    <row r="17" spans="1:15" x14ac:dyDescent="0.3">
      <c r="A17" t="s">
        <v>167</v>
      </c>
      <c r="B17" t="s">
        <v>168</v>
      </c>
      <c r="C17" t="s">
        <v>93</v>
      </c>
      <c r="D17" t="s">
        <v>169</v>
      </c>
      <c r="E17" t="s">
        <v>127</v>
      </c>
      <c r="F17" t="s">
        <v>113</v>
      </c>
      <c r="G17" t="s">
        <v>107</v>
      </c>
      <c r="H17" t="s">
        <v>93</v>
      </c>
      <c r="I17" t="str">
        <f>_xlfn.IFNA(VLOOKUP(C17,merchants!$A$2:$D$41,2,FALSE),"Merchant not found")</f>
        <v>Merchant_040</v>
      </c>
      <c r="J17" t="str">
        <f>_xlfn.IFNA(VLOOKUP(C17,merchants!$A$2:$D$41,3,FALSE),"Merchant not found")</f>
        <v>entertainment</v>
      </c>
      <c r="K17" t="str">
        <f>_xlfn.IFNA(VLOOKUP(C17,merchants!$A$2:$D$41,4,FALSE),"Merchant not found")</f>
        <v>South</v>
      </c>
      <c r="L17">
        <f t="shared" si="0"/>
        <v>46036</v>
      </c>
      <c r="M17">
        <f t="shared" si="1"/>
        <v>0</v>
      </c>
      <c r="N17" t="str">
        <f t="shared" si="2"/>
        <v>Standard</v>
      </c>
      <c r="O17">
        <f>HLOOKUP(F17,fee_lookup!$B$1:$E$2,2,FALSE)</f>
        <v>2E-3</v>
      </c>
    </row>
    <row r="18" spans="1:15" x14ac:dyDescent="0.3">
      <c r="A18" t="s">
        <v>170</v>
      </c>
      <c r="B18" t="s">
        <v>171</v>
      </c>
      <c r="C18" t="s">
        <v>78</v>
      </c>
      <c r="D18" t="s">
        <v>172</v>
      </c>
      <c r="E18" t="s">
        <v>127</v>
      </c>
      <c r="F18" t="s">
        <v>122</v>
      </c>
      <c r="G18" t="s">
        <v>107</v>
      </c>
      <c r="H18" t="s">
        <v>91</v>
      </c>
      <c r="I18" t="str">
        <f>_xlfn.IFNA(VLOOKUP(C18,merchants!$A$2:$D$41,2,FALSE),"Merchant not found")</f>
        <v>Merchant_033</v>
      </c>
      <c r="J18" t="str">
        <f>_xlfn.IFNA(VLOOKUP(C18,merchants!$A$2:$D$41,3,FALSE),"Merchant not found")</f>
        <v>bill_payment</v>
      </c>
      <c r="K18" t="str">
        <f>_xlfn.IFNA(VLOOKUP(C18,merchants!$A$2:$D$41,4,FALSE),"Merchant not found")</f>
        <v>East</v>
      </c>
      <c r="L18">
        <f t="shared" si="0"/>
        <v>46044</v>
      </c>
      <c r="M18">
        <f t="shared" si="1"/>
        <v>0</v>
      </c>
      <c r="N18" t="str">
        <f t="shared" si="2"/>
        <v>Standard</v>
      </c>
      <c r="O18">
        <f>HLOOKUP(F18,fee_lookup!$B$1:$E$2,2,FALSE)</f>
        <v>1.2E-2</v>
      </c>
    </row>
    <row r="19" spans="1:15" x14ac:dyDescent="0.3">
      <c r="A19" t="s">
        <v>173</v>
      </c>
      <c r="B19" t="s">
        <v>174</v>
      </c>
      <c r="C19" t="s">
        <v>50</v>
      </c>
      <c r="D19" t="s">
        <v>175</v>
      </c>
      <c r="E19" t="s">
        <v>105</v>
      </c>
      <c r="F19" t="s">
        <v>154</v>
      </c>
      <c r="G19" t="s">
        <v>107</v>
      </c>
      <c r="H19" t="s">
        <v>176</v>
      </c>
      <c r="I19" t="str">
        <f>_xlfn.IFNA(VLOOKUP(C19,merchants!$A$2:$D$41,2,FALSE),"Merchant not found")</f>
        <v>Merchant_019</v>
      </c>
      <c r="J19" t="str">
        <f>_xlfn.IFNA(VLOOKUP(C19,merchants!$A$2:$D$41,3,FALSE),"Merchant not found")</f>
        <v>grocery</v>
      </c>
      <c r="K19" t="str">
        <f>_xlfn.IFNA(VLOOKUP(C19,merchants!$A$2:$D$41,4,FALSE),"Merchant not found")</f>
        <v>North</v>
      </c>
      <c r="L19">
        <f t="shared" si="0"/>
        <v>46044</v>
      </c>
      <c r="M19">
        <f t="shared" si="1"/>
        <v>0</v>
      </c>
      <c r="N19" t="str">
        <f t="shared" si="2"/>
        <v>Standard</v>
      </c>
      <c r="O19">
        <f>HLOOKUP(F19,fee_lookup!$B$1:$E$2,2,FALSE)</f>
        <v>1.7999999999999999E-2</v>
      </c>
    </row>
    <row r="20" spans="1:15" x14ac:dyDescent="0.3">
      <c r="A20" t="s">
        <v>177</v>
      </c>
      <c r="B20" t="s">
        <v>178</v>
      </c>
      <c r="C20" t="s">
        <v>62</v>
      </c>
      <c r="D20" t="s">
        <v>179</v>
      </c>
      <c r="E20" t="s">
        <v>105</v>
      </c>
      <c r="F20" t="s">
        <v>113</v>
      </c>
      <c r="G20" t="s">
        <v>107</v>
      </c>
      <c r="H20" t="s">
        <v>180</v>
      </c>
      <c r="I20" t="str">
        <f>_xlfn.IFNA(VLOOKUP(C20,merchants!$A$2:$D$41,2,FALSE),"Merchant not found")</f>
        <v>Merchant_025</v>
      </c>
      <c r="J20" t="str">
        <f>_xlfn.IFNA(VLOOKUP(C20,merchants!$A$2:$D$41,3,FALSE),"Merchant not found")</f>
        <v>travel</v>
      </c>
      <c r="K20" t="str">
        <f>_xlfn.IFNA(VLOOKUP(C20,merchants!$A$2:$D$41,4,FALSE),"Merchant not found")</f>
        <v>South</v>
      </c>
      <c r="L20">
        <f t="shared" si="0"/>
        <v>46027</v>
      </c>
      <c r="M20">
        <f t="shared" si="1"/>
        <v>0</v>
      </c>
      <c r="N20" t="str">
        <f t="shared" si="2"/>
        <v>Standard</v>
      </c>
      <c r="O20">
        <f>HLOOKUP(F20,fee_lookup!$B$1:$E$2,2,FALSE)</f>
        <v>2E-3</v>
      </c>
    </row>
    <row r="21" spans="1:15" x14ac:dyDescent="0.3">
      <c r="A21" t="s">
        <v>181</v>
      </c>
      <c r="B21" t="s">
        <v>182</v>
      </c>
      <c r="C21" t="s">
        <v>52</v>
      </c>
      <c r="D21" t="s">
        <v>183</v>
      </c>
      <c r="E21" t="s">
        <v>112</v>
      </c>
      <c r="F21" t="s">
        <v>113</v>
      </c>
      <c r="G21" t="s">
        <v>107</v>
      </c>
      <c r="H21" t="s">
        <v>137</v>
      </c>
      <c r="I21" t="str">
        <f>_xlfn.IFNA(VLOOKUP(C21,merchants!$A$2:$D$41,2,FALSE),"Merchant not found")</f>
        <v>Merchant_020</v>
      </c>
      <c r="J21" t="str">
        <f>_xlfn.IFNA(VLOOKUP(C21,merchants!$A$2:$D$41,3,FALSE),"Merchant not found")</f>
        <v>food_delivery</v>
      </c>
      <c r="K21" t="str">
        <f>_xlfn.IFNA(VLOOKUP(C21,merchants!$A$2:$D$41,4,FALSE),"Merchant not found")</f>
        <v>East</v>
      </c>
      <c r="L21">
        <f t="shared" si="0"/>
        <v>46046</v>
      </c>
      <c r="M21">
        <f t="shared" si="1"/>
        <v>0</v>
      </c>
      <c r="N21" t="str">
        <f t="shared" si="2"/>
        <v>Standard</v>
      </c>
      <c r="O21">
        <f>HLOOKUP(F21,fee_lookup!$B$1:$E$2,2,FALSE)</f>
        <v>2E-3</v>
      </c>
    </row>
    <row r="22" spans="1:15" x14ac:dyDescent="0.3">
      <c r="A22" t="s">
        <v>184</v>
      </c>
      <c r="B22" t="s">
        <v>185</v>
      </c>
      <c r="C22" t="s">
        <v>39</v>
      </c>
      <c r="D22" t="s">
        <v>186</v>
      </c>
      <c r="E22" t="s">
        <v>127</v>
      </c>
      <c r="F22" t="s">
        <v>154</v>
      </c>
      <c r="G22" t="s">
        <v>107</v>
      </c>
      <c r="H22" t="s">
        <v>187</v>
      </c>
      <c r="I22" t="str">
        <f>_xlfn.IFNA(VLOOKUP(C22,merchants!$A$2:$D$41,2,FALSE),"Merchant not found")</f>
        <v>Merchant_014</v>
      </c>
      <c r="J22" t="str">
        <f>_xlfn.IFNA(VLOOKUP(C22,merchants!$A$2:$D$41,3,FALSE),"Merchant not found")</f>
        <v>grocery</v>
      </c>
      <c r="K22" t="str">
        <f>_xlfn.IFNA(VLOOKUP(C22,merchants!$A$2:$D$41,4,FALSE),"Merchant not found")</f>
        <v>East</v>
      </c>
      <c r="L22">
        <f t="shared" si="0"/>
        <v>46040</v>
      </c>
      <c r="M22">
        <f t="shared" si="1"/>
        <v>0</v>
      </c>
      <c r="N22" t="str">
        <f t="shared" si="2"/>
        <v>Standard</v>
      </c>
      <c r="O22">
        <f>HLOOKUP(F22,fee_lookup!$B$1:$E$2,2,FALSE)</f>
        <v>1.7999999999999999E-2</v>
      </c>
    </row>
    <row r="23" spans="1:15" x14ac:dyDescent="0.3">
      <c r="A23" t="s">
        <v>188</v>
      </c>
      <c r="B23" t="s">
        <v>189</v>
      </c>
      <c r="C23" t="s">
        <v>54</v>
      </c>
      <c r="D23" t="s">
        <v>190</v>
      </c>
      <c r="E23" t="s">
        <v>127</v>
      </c>
      <c r="F23" t="s">
        <v>113</v>
      </c>
      <c r="G23" t="s">
        <v>107</v>
      </c>
      <c r="H23" t="s">
        <v>191</v>
      </c>
      <c r="I23" t="str">
        <f>_xlfn.IFNA(VLOOKUP(C23,merchants!$A$2:$D$41,2,FALSE),"Merchant not found")</f>
        <v>Merchant_021</v>
      </c>
      <c r="J23" t="str">
        <f>_xlfn.IFNA(VLOOKUP(C23,merchants!$A$2:$D$41,3,FALSE),"Merchant not found")</f>
        <v>food_delivery</v>
      </c>
      <c r="K23" t="str">
        <f>_xlfn.IFNA(VLOOKUP(C23,merchants!$A$2:$D$41,4,FALSE),"Merchant not found")</f>
        <v>East</v>
      </c>
      <c r="L23">
        <f t="shared" si="0"/>
        <v>46048</v>
      </c>
      <c r="M23">
        <f t="shared" si="1"/>
        <v>0</v>
      </c>
      <c r="N23" t="str">
        <f t="shared" si="2"/>
        <v>Standard</v>
      </c>
      <c r="O23">
        <f>HLOOKUP(F23,fee_lookup!$B$1:$E$2,2,FALSE)</f>
        <v>2E-3</v>
      </c>
    </row>
    <row r="24" spans="1:15" x14ac:dyDescent="0.3">
      <c r="A24" t="s">
        <v>192</v>
      </c>
      <c r="B24" t="s">
        <v>193</v>
      </c>
      <c r="C24" t="s">
        <v>78</v>
      </c>
      <c r="D24" t="s">
        <v>194</v>
      </c>
      <c r="E24" t="s">
        <v>140</v>
      </c>
      <c r="F24" t="s">
        <v>113</v>
      </c>
      <c r="G24" t="s">
        <v>107</v>
      </c>
      <c r="H24" t="s">
        <v>131</v>
      </c>
      <c r="I24" t="str">
        <f>_xlfn.IFNA(VLOOKUP(C24,merchants!$A$2:$D$41,2,FALSE),"Merchant not found")</f>
        <v>Merchant_033</v>
      </c>
      <c r="J24" t="str">
        <f>_xlfn.IFNA(VLOOKUP(C24,merchants!$A$2:$D$41,3,FALSE),"Merchant not found")</f>
        <v>bill_payment</v>
      </c>
      <c r="K24" t="str">
        <f>_xlfn.IFNA(VLOOKUP(C24,merchants!$A$2:$D$41,4,FALSE),"Merchant not found")</f>
        <v>East</v>
      </c>
      <c r="L24">
        <f t="shared" si="0"/>
        <v>46037</v>
      </c>
      <c r="M24">
        <f t="shared" si="1"/>
        <v>0</v>
      </c>
      <c r="N24" t="str">
        <f t="shared" si="2"/>
        <v>Standard</v>
      </c>
      <c r="O24">
        <f>HLOOKUP(F24,fee_lookup!$B$1:$E$2,2,FALSE)</f>
        <v>2E-3</v>
      </c>
    </row>
    <row r="25" spans="1:15" x14ac:dyDescent="0.3">
      <c r="A25" t="s">
        <v>195</v>
      </c>
      <c r="B25" t="s">
        <v>196</v>
      </c>
      <c r="C25" t="s">
        <v>20</v>
      </c>
      <c r="D25" t="s">
        <v>197</v>
      </c>
      <c r="E25" t="s">
        <v>140</v>
      </c>
      <c r="F25" t="s">
        <v>113</v>
      </c>
      <c r="G25" t="s">
        <v>198</v>
      </c>
      <c r="H25" t="s">
        <v>84</v>
      </c>
      <c r="I25" t="str">
        <f>_xlfn.IFNA(VLOOKUP(C25,merchants!$A$2:$D$41,2,FALSE),"Merchant not found")</f>
        <v>Merchant_006</v>
      </c>
      <c r="J25" t="str">
        <f>_xlfn.IFNA(VLOOKUP(C25,merchants!$A$2:$D$41,3,FALSE),"Merchant not found")</f>
        <v>food_delivery</v>
      </c>
      <c r="K25" t="str">
        <f>_xlfn.IFNA(VLOOKUP(C25,merchants!$A$2:$D$41,4,FALSE),"Merchant not found")</f>
        <v>South</v>
      </c>
      <c r="L25">
        <f t="shared" si="0"/>
        <v>46048</v>
      </c>
      <c r="M25">
        <f t="shared" si="1"/>
        <v>0</v>
      </c>
      <c r="N25" t="str">
        <f t="shared" si="2"/>
        <v>Standard</v>
      </c>
      <c r="O25">
        <f>HLOOKUP(F25,fee_lookup!$B$1:$E$2,2,FALSE)</f>
        <v>2E-3</v>
      </c>
    </row>
    <row r="26" spans="1:15" x14ac:dyDescent="0.3">
      <c r="A26" t="s">
        <v>199</v>
      </c>
      <c r="B26" t="s">
        <v>200</v>
      </c>
      <c r="C26" t="s">
        <v>56</v>
      </c>
      <c r="D26" t="s">
        <v>201</v>
      </c>
      <c r="E26" t="s">
        <v>140</v>
      </c>
      <c r="F26" t="s">
        <v>106</v>
      </c>
      <c r="G26" t="s">
        <v>107</v>
      </c>
      <c r="H26" t="s">
        <v>32</v>
      </c>
      <c r="I26" t="str">
        <f>_xlfn.IFNA(VLOOKUP(C26,merchants!$A$2:$D$41,2,FALSE),"Merchant not found")</f>
        <v>Merchant_022</v>
      </c>
      <c r="J26" t="str">
        <f>_xlfn.IFNA(VLOOKUP(C26,merchants!$A$2:$D$41,3,FALSE),"Merchant not found")</f>
        <v>travel</v>
      </c>
      <c r="K26" t="str">
        <f>_xlfn.IFNA(VLOOKUP(C26,merchants!$A$2:$D$41,4,FALSE),"Merchant not found")</f>
        <v>South</v>
      </c>
      <c r="L26">
        <f t="shared" si="0"/>
        <v>46039</v>
      </c>
      <c r="M26">
        <f t="shared" si="1"/>
        <v>0</v>
      </c>
      <c r="N26" t="str">
        <f t="shared" si="2"/>
        <v>Standard</v>
      </c>
      <c r="O26">
        <f>HLOOKUP(F26,fee_lookup!$B$1:$E$2,2,FALSE)</f>
        <v>0.01</v>
      </c>
    </row>
    <row r="27" spans="1:15" x14ac:dyDescent="0.3">
      <c r="A27" t="s">
        <v>202</v>
      </c>
      <c r="B27" t="s">
        <v>203</v>
      </c>
      <c r="C27" t="s">
        <v>41</v>
      </c>
      <c r="D27" t="s">
        <v>204</v>
      </c>
      <c r="E27" t="s">
        <v>140</v>
      </c>
      <c r="F27" t="s">
        <v>113</v>
      </c>
      <c r="G27" t="s">
        <v>107</v>
      </c>
      <c r="H27" t="s">
        <v>62</v>
      </c>
      <c r="I27" t="str">
        <f>_xlfn.IFNA(VLOOKUP(C27,merchants!$A$2:$D$41,2,FALSE),"Merchant not found")</f>
        <v>Merchant_015</v>
      </c>
      <c r="J27" t="str">
        <f>_xlfn.IFNA(VLOOKUP(C27,merchants!$A$2:$D$41,3,FALSE),"Merchant not found")</f>
        <v>travel</v>
      </c>
      <c r="K27" t="str">
        <f>_xlfn.IFNA(VLOOKUP(C27,merchants!$A$2:$D$41,4,FALSE),"Merchant not found")</f>
        <v>North</v>
      </c>
      <c r="L27">
        <f t="shared" si="0"/>
        <v>46049</v>
      </c>
      <c r="M27">
        <f t="shared" si="1"/>
        <v>0</v>
      </c>
      <c r="N27" t="str">
        <f t="shared" si="2"/>
        <v>Standard</v>
      </c>
      <c r="O27">
        <f>HLOOKUP(F27,fee_lookup!$B$1:$E$2,2,FALSE)</f>
        <v>2E-3</v>
      </c>
    </row>
    <row r="28" spans="1:15" x14ac:dyDescent="0.3">
      <c r="A28" t="s">
        <v>205</v>
      </c>
      <c r="B28" t="s">
        <v>206</v>
      </c>
      <c r="C28" t="s">
        <v>74</v>
      </c>
      <c r="D28" t="s">
        <v>207</v>
      </c>
      <c r="E28" t="s">
        <v>112</v>
      </c>
      <c r="F28" t="s">
        <v>154</v>
      </c>
      <c r="G28" t="s">
        <v>107</v>
      </c>
      <c r="H28" t="s">
        <v>208</v>
      </c>
      <c r="I28" t="str">
        <f>_xlfn.IFNA(VLOOKUP(C28,merchants!$A$2:$D$41,2,FALSE),"Merchant not found")</f>
        <v>Merchant_031</v>
      </c>
      <c r="J28" t="str">
        <f>_xlfn.IFNA(VLOOKUP(C28,merchants!$A$2:$D$41,3,FALSE),"Merchant not found")</f>
        <v>bill_payment</v>
      </c>
      <c r="K28" t="str">
        <f>_xlfn.IFNA(VLOOKUP(C28,merchants!$A$2:$D$41,4,FALSE),"Merchant not found")</f>
        <v>East</v>
      </c>
      <c r="L28">
        <f t="shared" si="0"/>
        <v>46027</v>
      </c>
      <c r="M28">
        <f t="shared" si="1"/>
        <v>0</v>
      </c>
      <c r="N28" t="str">
        <f t="shared" si="2"/>
        <v>Standard</v>
      </c>
      <c r="O28">
        <f>HLOOKUP(F28,fee_lookup!$B$1:$E$2,2,FALSE)</f>
        <v>1.7999999999999999E-2</v>
      </c>
    </row>
    <row r="29" spans="1:15" x14ac:dyDescent="0.3">
      <c r="A29" t="s">
        <v>209</v>
      </c>
      <c r="B29" t="s">
        <v>210</v>
      </c>
      <c r="C29" t="s">
        <v>87</v>
      </c>
      <c r="D29" t="s">
        <v>211</v>
      </c>
      <c r="E29" t="s">
        <v>127</v>
      </c>
      <c r="F29" t="s">
        <v>113</v>
      </c>
      <c r="G29" t="s">
        <v>107</v>
      </c>
      <c r="H29" t="s">
        <v>60</v>
      </c>
      <c r="I29" t="str">
        <f>_xlfn.IFNA(VLOOKUP(C29,merchants!$A$2:$D$41,2,FALSE),"Merchant not found")</f>
        <v>Merchant_037</v>
      </c>
      <c r="J29" t="str">
        <f>_xlfn.IFNA(VLOOKUP(C29,merchants!$A$2:$D$41,3,FALSE),"Merchant not found")</f>
        <v>entertainment</v>
      </c>
      <c r="K29" t="str">
        <f>_xlfn.IFNA(VLOOKUP(C29,merchants!$A$2:$D$41,4,FALSE),"Merchant not found")</f>
        <v>South</v>
      </c>
      <c r="L29">
        <f t="shared" si="0"/>
        <v>46050</v>
      </c>
      <c r="M29">
        <f t="shared" si="1"/>
        <v>0</v>
      </c>
      <c r="N29" t="str">
        <f t="shared" si="2"/>
        <v>Standard</v>
      </c>
      <c r="O29">
        <f>HLOOKUP(F29,fee_lookup!$B$1:$E$2,2,FALSE)</f>
        <v>2E-3</v>
      </c>
    </row>
    <row r="30" spans="1:15" x14ac:dyDescent="0.3">
      <c r="A30" t="s">
        <v>212</v>
      </c>
      <c r="B30" t="s">
        <v>213</v>
      </c>
      <c r="C30" t="s">
        <v>64</v>
      </c>
      <c r="D30" t="s">
        <v>214</v>
      </c>
      <c r="E30" t="s">
        <v>127</v>
      </c>
      <c r="F30" t="s">
        <v>106</v>
      </c>
      <c r="G30" t="s">
        <v>107</v>
      </c>
      <c r="H30" t="s">
        <v>74</v>
      </c>
      <c r="I30" t="str">
        <f>_xlfn.IFNA(VLOOKUP(C30,merchants!$A$2:$D$41,2,FALSE),"Merchant not found")</f>
        <v>Merchant_026</v>
      </c>
      <c r="J30" t="str">
        <f>_xlfn.IFNA(VLOOKUP(C30,merchants!$A$2:$D$41,3,FALSE),"Merchant not found")</f>
        <v>food_delivery</v>
      </c>
      <c r="K30" t="str">
        <f>_xlfn.IFNA(VLOOKUP(C30,merchants!$A$2:$D$41,4,FALSE),"Merchant not found")</f>
        <v>East</v>
      </c>
      <c r="L30">
        <f t="shared" si="0"/>
        <v>46045</v>
      </c>
      <c r="M30">
        <f t="shared" si="1"/>
        <v>0</v>
      </c>
      <c r="N30" t="str">
        <f t="shared" si="2"/>
        <v>Standard</v>
      </c>
      <c r="O30">
        <f>HLOOKUP(F30,fee_lookup!$B$1:$E$2,2,FALSE)</f>
        <v>0.01</v>
      </c>
    </row>
    <row r="31" spans="1:15" x14ac:dyDescent="0.3">
      <c r="A31" t="s">
        <v>215</v>
      </c>
      <c r="B31" t="s">
        <v>12</v>
      </c>
      <c r="C31" t="s">
        <v>23</v>
      </c>
      <c r="D31" t="s">
        <v>216</v>
      </c>
      <c r="E31" t="s">
        <v>118</v>
      </c>
      <c r="F31" t="s">
        <v>113</v>
      </c>
      <c r="G31" t="s">
        <v>107</v>
      </c>
      <c r="H31" t="s">
        <v>127</v>
      </c>
      <c r="I31" t="str">
        <f>_xlfn.IFNA(VLOOKUP(C31,merchants!$A$2:$D$41,2,FALSE),"Merchant not found")</f>
        <v>Merchant_007</v>
      </c>
      <c r="J31" t="str">
        <f>_xlfn.IFNA(VLOOKUP(C31,merchants!$A$2:$D$41,3,FALSE),"Merchant not found")</f>
        <v>food_delivery</v>
      </c>
      <c r="K31" t="str">
        <f>_xlfn.IFNA(VLOOKUP(C31,merchants!$A$2:$D$41,4,FALSE),"Merchant not found")</f>
        <v>East</v>
      </c>
      <c r="L31">
        <f t="shared" si="0"/>
        <v>46027</v>
      </c>
      <c r="M31">
        <f t="shared" si="1"/>
        <v>0</v>
      </c>
      <c r="N31" t="str">
        <f t="shared" si="2"/>
        <v>Standard</v>
      </c>
      <c r="O31">
        <f>HLOOKUP(F31,fee_lookup!$B$1:$E$2,2,FALSE)</f>
        <v>2E-3</v>
      </c>
    </row>
    <row r="32" spans="1:15" x14ac:dyDescent="0.3">
      <c r="A32" t="s">
        <v>217</v>
      </c>
      <c r="B32" t="s">
        <v>218</v>
      </c>
      <c r="C32" t="s">
        <v>72</v>
      </c>
      <c r="D32" t="s">
        <v>219</v>
      </c>
      <c r="E32" t="s">
        <v>220</v>
      </c>
      <c r="F32" t="s">
        <v>154</v>
      </c>
      <c r="G32" t="s">
        <v>107</v>
      </c>
      <c r="H32" t="s">
        <v>20</v>
      </c>
      <c r="I32" t="str">
        <f>_xlfn.IFNA(VLOOKUP(C32,merchants!$A$2:$D$41,2,FALSE),"Merchant not found")</f>
        <v>Merchant_030</v>
      </c>
      <c r="J32" t="str">
        <f>_xlfn.IFNA(VLOOKUP(C32,merchants!$A$2:$D$41,3,FALSE),"Merchant not found")</f>
        <v>travel</v>
      </c>
      <c r="K32" t="str">
        <f>_xlfn.IFNA(VLOOKUP(C32,merchants!$A$2:$D$41,4,FALSE),"Merchant not found")</f>
        <v>West</v>
      </c>
      <c r="L32">
        <f t="shared" si="0"/>
        <v>46036</v>
      </c>
      <c r="M32">
        <f t="shared" si="1"/>
        <v>0</v>
      </c>
      <c r="N32" t="str">
        <f t="shared" si="2"/>
        <v>Standard</v>
      </c>
      <c r="O32">
        <f>HLOOKUP(F32,fee_lookup!$B$1:$E$2,2,FALSE)</f>
        <v>1.7999999999999999E-2</v>
      </c>
    </row>
    <row r="33" spans="1:15" x14ac:dyDescent="0.3">
      <c r="A33" t="s">
        <v>221</v>
      </c>
      <c r="B33" t="s">
        <v>222</v>
      </c>
      <c r="C33" t="s">
        <v>72</v>
      </c>
      <c r="D33" t="s">
        <v>223</v>
      </c>
      <c r="E33" t="s">
        <v>140</v>
      </c>
      <c r="F33" t="s">
        <v>113</v>
      </c>
      <c r="G33" t="s">
        <v>107</v>
      </c>
      <c r="H33" t="s">
        <v>46</v>
      </c>
      <c r="I33" t="str">
        <f>_xlfn.IFNA(VLOOKUP(C33,merchants!$A$2:$D$41,2,FALSE),"Merchant not found")</f>
        <v>Merchant_030</v>
      </c>
      <c r="J33" t="str">
        <f>_xlfn.IFNA(VLOOKUP(C33,merchants!$A$2:$D$41,3,FALSE),"Merchant not found")</f>
        <v>travel</v>
      </c>
      <c r="K33" t="str">
        <f>_xlfn.IFNA(VLOOKUP(C33,merchants!$A$2:$D$41,4,FALSE),"Merchant not found")</f>
        <v>West</v>
      </c>
      <c r="L33">
        <f t="shared" si="0"/>
        <v>46040</v>
      </c>
      <c r="M33">
        <f t="shared" si="1"/>
        <v>0</v>
      </c>
      <c r="N33" t="str">
        <f t="shared" si="2"/>
        <v>Standard</v>
      </c>
      <c r="O33">
        <f>HLOOKUP(F33,fee_lookup!$B$1:$E$2,2,FALSE)</f>
        <v>2E-3</v>
      </c>
    </row>
    <row r="34" spans="1:15" x14ac:dyDescent="0.3">
      <c r="A34" t="s">
        <v>224</v>
      </c>
      <c r="B34" t="s">
        <v>225</v>
      </c>
      <c r="C34" t="s">
        <v>84</v>
      </c>
      <c r="D34" t="s">
        <v>226</v>
      </c>
      <c r="E34" t="s">
        <v>227</v>
      </c>
      <c r="F34" t="s">
        <v>113</v>
      </c>
      <c r="G34" t="s">
        <v>107</v>
      </c>
      <c r="H34" t="s">
        <v>228</v>
      </c>
      <c r="I34" t="str">
        <f>_xlfn.IFNA(VLOOKUP(C34,merchants!$A$2:$D$41,2,FALSE),"Merchant not found")</f>
        <v>Merchant_036</v>
      </c>
      <c r="J34" t="str">
        <f>_xlfn.IFNA(VLOOKUP(C34,merchants!$A$2:$D$41,3,FALSE),"Merchant not found")</f>
        <v>entertainment</v>
      </c>
      <c r="K34" t="str">
        <f>_xlfn.IFNA(VLOOKUP(C34,merchants!$A$2:$D$41,4,FALSE),"Merchant not found")</f>
        <v>East</v>
      </c>
      <c r="L34">
        <f t="shared" si="0"/>
        <v>46048</v>
      </c>
      <c r="M34">
        <f t="shared" si="1"/>
        <v>0</v>
      </c>
      <c r="N34" t="str">
        <f t="shared" si="2"/>
        <v>Standard</v>
      </c>
      <c r="O34">
        <f>HLOOKUP(F34,fee_lookup!$B$1:$E$2,2,FALSE)</f>
        <v>2E-3</v>
      </c>
    </row>
    <row r="35" spans="1:15" x14ac:dyDescent="0.3">
      <c r="A35" t="s">
        <v>229</v>
      </c>
      <c r="B35" t="s">
        <v>230</v>
      </c>
      <c r="C35" t="s">
        <v>68</v>
      </c>
      <c r="D35" t="s">
        <v>231</v>
      </c>
      <c r="E35" t="s">
        <v>112</v>
      </c>
      <c r="F35" t="s">
        <v>106</v>
      </c>
      <c r="G35" t="s">
        <v>107</v>
      </c>
      <c r="H35" t="s">
        <v>176</v>
      </c>
      <c r="I35" t="str">
        <f>_xlfn.IFNA(VLOOKUP(C35,merchants!$A$2:$D$41,2,FALSE),"Merchant not found")</f>
        <v>Merchant_028</v>
      </c>
      <c r="J35" t="str">
        <f>_xlfn.IFNA(VLOOKUP(C35,merchants!$A$2:$D$41,3,FALSE),"Merchant not found")</f>
        <v>ecommerce</v>
      </c>
      <c r="K35" t="str">
        <f>_xlfn.IFNA(VLOOKUP(C35,merchants!$A$2:$D$41,4,FALSE),"Merchant not found")</f>
        <v>South</v>
      </c>
      <c r="L35">
        <f t="shared" si="0"/>
        <v>46033</v>
      </c>
      <c r="M35">
        <f t="shared" si="1"/>
        <v>0</v>
      </c>
      <c r="N35" t="str">
        <f t="shared" si="2"/>
        <v>Standard</v>
      </c>
      <c r="O35">
        <f>HLOOKUP(F35,fee_lookup!$B$1:$E$2,2,FALSE)</f>
        <v>0.01</v>
      </c>
    </row>
    <row r="36" spans="1:15" x14ac:dyDescent="0.3">
      <c r="A36" t="s">
        <v>232</v>
      </c>
      <c r="B36" t="s">
        <v>233</v>
      </c>
      <c r="C36" t="s">
        <v>70</v>
      </c>
      <c r="D36" t="s">
        <v>234</v>
      </c>
      <c r="E36" t="s">
        <v>145</v>
      </c>
      <c r="F36" t="s">
        <v>122</v>
      </c>
      <c r="G36" t="s">
        <v>107</v>
      </c>
      <c r="H36" t="s">
        <v>78</v>
      </c>
      <c r="I36" t="str">
        <f>_xlfn.IFNA(VLOOKUP(C36,merchants!$A$2:$D$41,2,FALSE),"Merchant not found")</f>
        <v>Merchant_029</v>
      </c>
      <c r="J36" t="str">
        <f>_xlfn.IFNA(VLOOKUP(C36,merchants!$A$2:$D$41,3,FALSE),"Merchant not found")</f>
        <v>ecommerce</v>
      </c>
      <c r="K36" t="str">
        <f>_xlfn.IFNA(VLOOKUP(C36,merchants!$A$2:$D$41,4,FALSE),"Merchant not found")</f>
        <v>North</v>
      </c>
      <c r="L36">
        <f t="shared" si="0"/>
        <v>46037</v>
      </c>
      <c r="M36">
        <f t="shared" si="1"/>
        <v>0</v>
      </c>
      <c r="N36" t="str">
        <f t="shared" si="2"/>
        <v>Standard</v>
      </c>
      <c r="O36">
        <f>HLOOKUP(F36,fee_lookup!$B$1:$E$2,2,FALSE)</f>
        <v>1.2E-2</v>
      </c>
    </row>
    <row r="37" spans="1:15" x14ac:dyDescent="0.3">
      <c r="A37" t="s">
        <v>235</v>
      </c>
      <c r="B37" t="s">
        <v>236</v>
      </c>
      <c r="C37" t="s">
        <v>48</v>
      </c>
      <c r="D37" t="s">
        <v>237</v>
      </c>
      <c r="E37" t="s">
        <v>227</v>
      </c>
      <c r="F37" t="s">
        <v>154</v>
      </c>
      <c r="G37" t="s">
        <v>107</v>
      </c>
      <c r="H37" t="s">
        <v>238</v>
      </c>
      <c r="I37" t="str">
        <f>_xlfn.IFNA(VLOOKUP(C37,merchants!$A$2:$D$41,2,FALSE),"Merchant not found")</f>
        <v>Merchant_018</v>
      </c>
      <c r="J37" t="str">
        <f>_xlfn.IFNA(VLOOKUP(C37,merchants!$A$2:$D$41,3,FALSE),"Merchant not found")</f>
        <v>grocery</v>
      </c>
      <c r="K37" t="str">
        <f>_xlfn.IFNA(VLOOKUP(C37,merchants!$A$2:$D$41,4,FALSE),"Merchant not found")</f>
        <v>West</v>
      </c>
      <c r="L37">
        <f t="shared" si="0"/>
        <v>46047</v>
      </c>
      <c r="M37">
        <f t="shared" si="1"/>
        <v>0</v>
      </c>
      <c r="N37" t="str">
        <f t="shared" si="2"/>
        <v>Standard</v>
      </c>
      <c r="O37">
        <f>HLOOKUP(F37,fee_lookup!$B$1:$E$2,2,FALSE)</f>
        <v>1.7999999999999999E-2</v>
      </c>
    </row>
    <row r="38" spans="1:15" x14ac:dyDescent="0.3">
      <c r="A38" t="s">
        <v>239</v>
      </c>
      <c r="B38" t="s">
        <v>240</v>
      </c>
      <c r="C38" t="s">
        <v>43</v>
      </c>
      <c r="D38" t="s">
        <v>241</v>
      </c>
      <c r="E38" t="s">
        <v>112</v>
      </c>
      <c r="F38" t="s">
        <v>113</v>
      </c>
      <c r="G38" t="s">
        <v>107</v>
      </c>
      <c r="H38" t="s">
        <v>82</v>
      </c>
      <c r="I38" t="str">
        <f>_xlfn.IFNA(VLOOKUP(C38,merchants!$A$2:$D$41,2,FALSE),"Merchant not found")</f>
        <v>Merchant_016</v>
      </c>
      <c r="J38" t="str">
        <f>_xlfn.IFNA(VLOOKUP(C38,merchants!$A$2:$D$41,3,FALSE),"Merchant not found")</f>
        <v>bill_payment</v>
      </c>
      <c r="K38" t="str">
        <f>_xlfn.IFNA(VLOOKUP(C38,merchants!$A$2:$D$41,4,FALSE),"Merchant not found")</f>
        <v>West</v>
      </c>
      <c r="L38">
        <f t="shared" si="0"/>
        <v>46047</v>
      </c>
      <c r="M38">
        <f t="shared" si="1"/>
        <v>0</v>
      </c>
      <c r="N38" t="str">
        <f t="shared" si="2"/>
        <v>Standard</v>
      </c>
      <c r="O38">
        <f>HLOOKUP(F38,fee_lookup!$B$1:$E$2,2,FALSE)</f>
        <v>2E-3</v>
      </c>
    </row>
    <row r="39" spans="1:15" x14ac:dyDescent="0.3">
      <c r="A39" t="s">
        <v>242</v>
      </c>
      <c r="B39" t="s">
        <v>185</v>
      </c>
      <c r="C39" t="s">
        <v>43</v>
      </c>
      <c r="D39" t="s">
        <v>243</v>
      </c>
      <c r="E39" t="s">
        <v>105</v>
      </c>
      <c r="F39" t="s">
        <v>154</v>
      </c>
      <c r="G39" t="s">
        <v>107</v>
      </c>
      <c r="H39" t="s">
        <v>80</v>
      </c>
      <c r="I39" t="str">
        <f>_xlfn.IFNA(VLOOKUP(C39,merchants!$A$2:$D$41,2,FALSE),"Merchant not found")</f>
        <v>Merchant_016</v>
      </c>
      <c r="J39" t="str">
        <f>_xlfn.IFNA(VLOOKUP(C39,merchants!$A$2:$D$41,3,FALSE),"Merchant not found")</f>
        <v>bill_payment</v>
      </c>
      <c r="K39" t="str">
        <f>_xlfn.IFNA(VLOOKUP(C39,merchants!$A$2:$D$41,4,FALSE),"Merchant not found")</f>
        <v>West</v>
      </c>
      <c r="L39">
        <f t="shared" si="0"/>
        <v>46037</v>
      </c>
      <c r="M39">
        <f t="shared" si="1"/>
        <v>0</v>
      </c>
      <c r="N39" t="str">
        <f t="shared" si="2"/>
        <v>Standard</v>
      </c>
      <c r="O39">
        <f>HLOOKUP(F39,fee_lookup!$B$1:$E$2,2,FALSE)</f>
        <v>1.7999999999999999E-2</v>
      </c>
    </row>
    <row r="40" spans="1:15" x14ac:dyDescent="0.3">
      <c r="A40" t="s">
        <v>244</v>
      </c>
      <c r="B40" t="s">
        <v>245</v>
      </c>
      <c r="C40" t="s">
        <v>20</v>
      </c>
      <c r="D40" t="s">
        <v>246</v>
      </c>
      <c r="E40" t="s">
        <v>118</v>
      </c>
      <c r="F40" t="s">
        <v>154</v>
      </c>
      <c r="G40" t="s">
        <v>107</v>
      </c>
      <c r="H40" t="s">
        <v>46</v>
      </c>
      <c r="I40" t="str">
        <f>_xlfn.IFNA(VLOOKUP(C40,merchants!$A$2:$D$41,2,FALSE),"Merchant not found")</f>
        <v>Merchant_006</v>
      </c>
      <c r="J40" t="str">
        <f>_xlfn.IFNA(VLOOKUP(C40,merchants!$A$2:$D$41,3,FALSE),"Merchant not found")</f>
        <v>food_delivery</v>
      </c>
      <c r="K40" t="str">
        <f>_xlfn.IFNA(VLOOKUP(C40,merchants!$A$2:$D$41,4,FALSE),"Merchant not found")</f>
        <v>South</v>
      </c>
      <c r="L40">
        <f t="shared" si="0"/>
        <v>46033</v>
      </c>
      <c r="M40">
        <f t="shared" si="1"/>
        <v>0</v>
      </c>
      <c r="N40" t="str">
        <f t="shared" si="2"/>
        <v>Standard</v>
      </c>
      <c r="O40">
        <f>HLOOKUP(F40,fee_lookup!$B$1:$E$2,2,FALSE)</f>
        <v>1.7999999999999999E-2</v>
      </c>
    </row>
    <row r="41" spans="1:15" x14ac:dyDescent="0.3">
      <c r="A41" t="s">
        <v>247</v>
      </c>
      <c r="B41" t="s">
        <v>114</v>
      </c>
      <c r="C41" t="s">
        <v>39</v>
      </c>
      <c r="D41" t="s">
        <v>248</v>
      </c>
      <c r="E41" t="s">
        <v>118</v>
      </c>
      <c r="F41" t="s">
        <v>113</v>
      </c>
      <c r="G41" t="s">
        <v>107</v>
      </c>
      <c r="H41" t="s">
        <v>25</v>
      </c>
      <c r="I41" t="str">
        <f>_xlfn.IFNA(VLOOKUP(C41,merchants!$A$2:$D$41,2,FALSE),"Merchant not found")</f>
        <v>Merchant_014</v>
      </c>
      <c r="J41" t="str">
        <f>_xlfn.IFNA(VLOOKUP(C41,merchants!$A$2:$D$41,3,FALSE),"Merchant not found")</f>
        <v>grocery</v>
      </c>
      <c r="K41" t="str">
        <f>_xlfn.IFNA(VLOOKUP(C41,merchants!$A$2:$D$41,4,FALSE),"Merchant not found")</f>
        <v>East</v>
      </c>
      <c r="L41">
        <f t="shared" si="0"/>
        <v>46027</v>
      </c>
      <c r="M41">
        <f t="shared" si="1"/>
        <v>0</v>
      </c>
      <c r="N41" t="str">
        <f t="shared" si="2"/>
        <v>Standard</v>
      </c>
      <c r="O41">
        <f>HLOOKUP(F41,fee_lookup!$B$1:$E$2,2,FALSE)</f>
        <v>2E-3</v>
      </c>
    </row>
    <row r="42" spans="1:15" x14ac:dyDescent="0.3">
      <c r="A42" t="s">
        <v>249</v>
      </c>
      <c r="B42" t="s">
        <v>250</v>
      </c>
      <c r="C42" t="s">
        <v>72</v>
      </c>
      <c r="D42" t="s">
        <v>251</v>
      </c>
      <c r="E42" t="s">
        <v>118</v>
      </c>
      <c r="F42" t="s">
        <v>113</v>
      </c>
      <c r="G42" t="s">
        <v>107</v>
      </c>
      <c r="H42" t="s">
        <v>252</v>
      </c>
      <c r="I42" t="str">
        <f>_xlfn.IFNA(VLOOKUP(C42,merchants!$A$2:$D$41,2,FALSE),"Merchant not found")</f>
        <v>Merchant_030</v>
      </c>
      <c r="J42" t="str">
        <f>_xlfn.IFNA(VLOOKUP(C42,merchants!$A$2:$D$41,3,FALSE),"Merchant not found")</f>
        <v>travel</v>
      </c>
      <c r="K42" t="str">
        <f>_xlfn.IFNA(VLOOKUP(C42,merchants!$A$2:$D$41,4,FALSE),"Merchant not found")</f>
        <v>West</v>
      </c>
      <c r="L42">
        <f t="shared" si="0"/>
        <v>46036</v>
      </c>
      <c r="M42">
        <f t="shared" si="1"/>
        <v>0</v>
      </c>
      <c r="N42" t="str">
        <f t="shared" si="2"/>
        <v>Standard</v>
      </c>
      <c r="O42">
        <f>HLOOKUP(F42,fee_lookup!$B$1:$E$2,2,FALSE)</f>
        <v>2E-3</v>
      </c>
    </row>
    <row r="43" spans="1:15" x14ac:dyDescent="0.3">
      <c r="A43" t="s">
        <v>253</v>
      </c>
      <c r="B43" t="s">
        <v>254</v>
      </c>
      <c r="C43" t="s">
        <v>62</v>
      </c>
      <c r="D43" t="s">
        <v>255</v>
      </c>
      <c r="E43" t="s">
        <v>127</v>
      </c>
      <c r="F43" t="s">
        <v>113</v>
      </c>
      <c r="G43" t="s">
        <v>107</v>
      </c>
      <c r="H43" t="s">
        <v>238</v>
      </c>
      <c r="I43" t="str">
        <f>_xlfn.IFNA(VLOOKUP(C43,merchants!$A$2:$D$41,2,FALSE),"Merchant not found")</f>
        <v>Merchant_025</v>
      </c>
      <c r="J43" t="str">
        <f>_xlfn.IFNA(VLOOKUP(C43,merchants!$A$2:$D$41,3,FALSE),"Merchant not found")</f>
        <v>travel</v>
      </c>
      <c r="K43" t="str">
        <f>_xlfn.IFNA(VLOOKUP(C43,merchants!$A$2:$D$41,4,FALSE),"Merchant not found")</f>
        <v>South</v>
      </c>
      <c r="L43">
        <f t="shared" si="0"/>
        <v>46024</v>
      </c>
      <c r="M43">
        <f t="shared" si="1"/>
        <v>0</v>
      </c>
      <c r="N43" t="str">
        <f t="shared" si="2"/>
        <v>Standard</v>
      </c>
      <c r="O43">
        <f>HLOOKUP(F43,fee_lookup!$B$1:$E$2,2,FALSE)</f>
        <v>2E-3</v>
      </c>
    </row>
    <row r="44" spans="1:15" x14ac:dyDescent="0.3">
      <c r="A44" t="s">
        <v>256</v>
      </c>
      <c r="B44" t="s">
        <v>257</v>
      </c>
      <c r="C44" t="s">
        <v>62</v>
      </c>
      <c r="D44" t="s">
        <v>258</v>
      </c>
      <c r="E44" t="s">
        <v>118</v>
      </c>
      <c r="F44" t="s">
        <v>113</v>
      </c>
      <c r="G44" t="s">
        <v>107</v>
      </c>
      <c r="H44" t="s">
        <v>259</v>
      </c>
      <c r="I44" t="str">
        <f>_xlfn.IFNA(VLOOKUP(C44,merchants!$A$2:$D$41,2,FALSE),"Merchant not found")</f>
        <v>Merchant_025</v>
      </c>
      <c r="J44" t="str">
        <f>_xlfn.IFNA(VLOOKUP(C44,merchants!$A$2:$D$41,3,FALSE),"Merchant not found")</f>
        <v>travel</v>
      </c>
      <c r="K44" t="str">
        <f>_xlfn.IFNA(VLOOKUP(C44,merchants!$A$2:$D$41,4,FALSE),"Merchant not found")</f>
        <v>South</v>
      </c>
      <c r="L44">
        <f t="shared" si="0"/>
        <v>46041</v>
      </c>
      <c r="M44">
        <f t="shared" si="1"/>
        <v>0</v>
      </c>
      <c r="N44" t="str">
        <f t="shared" si="2"/>
        <v>Standard</v>
      </c>
      <c r="O44">
        <f>HLOOKUP(F44,fee_lookup!$B$1:$E$2,2,FALSE)</f>
        <v>2E-3</v>
      </c>
    </row>
    <row r="45" spans="1:15" x14ac:dyDescent="0.3">
      <c r="A45" t="s">
        <v>260</v>
      </c>
      <c r="B45" t="s">
        <v>261</v>
      </c>
      <c r="C45" t="s">
        <v>66</v>
      </c>
      <c r="D45" t="s">
        <v>262</v>
      </c>
      <c r="E45" t="s">
        <v>227</v>
      </c>
      <c r="F45" t="s">
        <v>113</v>
      </c>
      <c r="G45" t="s">
        <v>107</v>
      </c>
      <c r="H45" t="s">
        <v>263</v>
      </c>
      <c r="I45" t="str">
        <f>_xlfn.IFNA(VLOOKUP(C45,merchants!$A$2:$D$41,2,FALSE),"Merchant not found")</f>
        <v>Merchant_027</v>
      </c>
      <c r="J45" t="str">
        <f>_xlfn.IFNA(VLOOKUP(C45,merchants!$A$2:$D$41,3,FALSE),"Merchant not found")</f>
        <v>ecommerce</v>
      </c>
      <c r="K45" t="str">
        <f>_xlfn.IFNA(VLOOKUP(C45,merchants!$A$2:$D$41,4,FALSE),"Merchant not found")</f>
        <v>North</v>
      </c>
      <c r="L45">
        <f t="shared" si="0"/>
        <v>46023</v>
      </c>
      <c r="M45">
        <f t="shared" si="1"/>
        <v>0</v>
      </c>
      <c r="N45" t="str">
        <f t="shared" si="2"/>
        <v>Standard</v>
      </c>
      <c r="O45">
        <f>HLOOKUP(F45,fee_lookup!$B$1:$E$2,2,FALSE)</f>
        <v>2E-3</v>
      </c>
    </row>
    <row r="46" spans="1:15" x14ac:dyDescent="0.3">
      <c r="A46" t="s">
        <v>264</v>
      </c>
      <c r="B46" t="s">
        <v>265</v>
      </c>
      <c r="C46" t="s">
        <v>41</v>
      </c>
      <c r="D46" t="s">
        <v>266</v>
      </c>
      <c r="E46" t="s">
        <v>127</v>
      </c>
      <c r="F46" t="s">
        <v>122</v>
      </c>
      <c r="G46" t="s">
        <v>107</v>
      </c>
      <c r="H46" t="s">
        <v>267</v>
      </c>
      <c r="I46" t="str">
        <f>_xlfn.IFNA(VLOOKUP(C46,merchants!$A$2:$D$41,2,FALSE),"Merchant not found")</f>
        <v>Merchant_015</v>
      </c>
      <c r="J46" t="str">
        <f>_xlfn.IFNA(VLOOKUP(C46,merchants!$A$2:$D$41,3,FALSE),"Merchant not found")</f>
        <v>travel</v>
      </c>
      <c r="K46" t="str">
        <f>_xlfn.IFNA(VLOOKUP(C46,merchants!$A$2:$D$41,4,FALSE),"Merchant not found")</f>
        <v>North</v>
      </c>
      <c r="L46">
        <f t="shared" si="0"/>
        <v>46046</v>
      </c>
      <c r="M46">
        <f t="shared" si="1"/>
        <v>0</v>
      </c>
      <c r="N46" t="str">
        <f t="shared" si="2"/>
        <v>Standard</v>
      </c>
      <c r="O46">
        <f>HLOOKUP(F46,fee_lookup!$B$1:$E$2,2,FALSE)</f>
        <v>1.2E-2</v>
      </c>
    </row>
    <row r="47" spans="1:15" x14ac:dyDescent="0.3">
      <c r="A47" t="s">
        <v>268</v>
      </c>
      <c r="B47" t="s">
        <v>269</v>
      </c>
      <c r="C47" t="s">
        <v>8</v>
      </c>
      <c r="D47" t="s">
        <v>270</v>
      </c>
      <c r="E47" t="s">
        <v>145</v>
      </c>
      <c r="F47" t="s">
        <v>106</v>
      </c>
      <c r="G47" t="s">
        <v>107</v>
      </c>
      <c r="H47" t="s">
        <v>112</v>
      </c>
      <c r="I47" t="str">
        <f>_xlfn.IFNA(VLOOKUP(C47,merchants!$A$2:$D$41,2,FALSE),"Merchant not found")</f>
        <v>Merchant_002</v>
      </c>
      <c r="J47" t="str">
        <f>_xlfn.IFNA(VLOOKUP(C47,merchants!$A$2:$D$41,3,FALSE),"Merchant not found")</f>
        <v>grocery</v>
      </c>
      <c r="K47" t="str">
        <f>_xlfn.IFNA(VLOOKUP(C47,merchants!$A$2:$D$41,4,FALSE),"Merchant not found")</f>
        <v>West</v>
      </c>
      <c r="L47">
        <f t="shared" si="0"/>
        <v>46030</v>
      </c>
      <c r="M47">
        <f t="shared" si="1"/>
        <v>0</v>
      </c>
      <c r="N47" t="str">
        <f t="shared" si="2"/>
        <v>Standard</v>
      </c>
      <c r="O47">
        <f>HLOOKUP(F47,fee_lookup!$B$1:$E$2,2,FALSE)</f>
        <v>0.01</v>
      </c>
    </row>
    <row r="48" spans="1:15" x14ac:dyDescent="0.3">
      <c r="A48" t="s">
        <v>271</v>
      </c>
      <c r="B48" t="s">
        <v>272</v>
      </c>
      <c r="C48" t="s">
        <v>32</v>
      </c>
      <c r="D48" t="s">
        <v>273</v>
      </c>
      <c r="E48" t="s">
        <v>274</v>
      </c>
      <c r="F48" t="s">
        <v>122</v>
      </c>
      <c r="G48" t="s">
        <v>107</v>
      </c>
      <c r="H48" t="s">
        <v>191</v>
      </c>
      <c r="I48" t="str">
        <f>_xlfn.IFNA(VLOOKUP(C48,merchants!$A$2:$D$41,2,FALSE),"Merchant not found")</f>
        <v>Merchant_011</v>
      </c>
      <c r="J48" t="str">
        <f>_xlfn.IFNA(VLOOKUP(C48,merchants!$A$2:$D$41,3,FALSE),"Merchant not found")</f>
        <v>ecommerce</v>
      </c>
      <c r="K48" t="str">
        <f>_xlfn.IFNA(VLOOKUP(C48,merchants!$A$2:$D$41,4,FALSE),"Merchant not found")</f>
        <v>North</v>
      </c>
      <c r="L48">
        <f t="shared" si="0"/>
        <v>46033</v>
      </c>
      <c r="M48">
        <f t="shared" si="1"/>
        <v>0</v>
      </c>
      <c r="N48" t="str">
        <f t="shared" si="2"/>
        <v>Standard</v>
      </c>
      <c r="O48">
        <f>HLOOKUP(F48,fee_lookup!$B$1:$E$2,2,FALSE)</f>
        <v>1.2E-2</v>
      </c>
    </row>
    <row r="49" spans="1:15" x14ac:dyDescent="0.3">
      <c r="A49" t="s">
        <v>275</v>
      </c>
      <c r="B49" t="s">
        <v>276</v>
      </c>
      <c r="C49" t="s">
        <v>8</v>
      </c>
      <c r="D49" t="s">
        <v>277</v>
      </c>
      <c r="E49" t="s">
        <v>145</v>
      </c>
      <c r="F49" t="s">
        <v>113</v>
      </c>
      <c r="G49" t="s">
        <v>107</v>
      </c>
      <c r="H49" t="s">
        <v>278</v>
      </c>
      <c r="I49" t="str">
        <f>_xlfn.IFNA(VLOOKUP(C49,merchants!$A$2:$D$41,2,FALSE),"Merchant not found")</f>
        <v>Merchant_002</v>
      </c>
      <c r="J49" t="str">
        <f>_xlfn.IFNA(VLOOKUP(C49,merchants!$A$2:$D$41,3,FALSE),"Merchant not found")</f>
        <v>grocery</v>
      </c>
      <c r="K49" t="str">
        <f>_xlfn.IFNA(VLOOKUP(C49,merchants!$A$2:$D$41,4,FALSE),"Merchant not found")</f>
        <v>West</v>
      </c>
      <c r="L49">
        <f t="shared" si="0"/>
        <v>46052</v>
      </c>
      <c r="M49">
        <f t="shared" si="1"/>
        <v>0</v>
      </c>
      <c r="N49" t="str">
        <f t="shared" si="2"/>
        <v>Standard</v>
      </c>
      <c r="O49">
        <f>HLOOKUP(F49,fee_lookup!$B$1:$E$2,2,FALSE)</f>
        <v>2E-3</v>
      </c>
    </row>
    <row r="50" spans="1:15" x14ac:dyDescent="0.3">
      <c r="A50" t="s">
        <v>279</v>
      </c>
      <c r="B50" t="s">
        <v>39</v>
      </c>
      <c r="C50" t="s">
        <v>20</v>
      </c>
      <c r="D50" t="s">
        <v>280</v>
      </c>
      <c r="E50" t="s">
        <v>112</v>
      </c>
      <c r="F50" t="s">
        <v>106</v>
      </c>
      <c r="G50" t="s">
        <v>107</v>
      </c>
      <c r="H50" t="s">
        <v>281</v>
      </c>
      <c r="I50" t="str">
        <f>_xlfn.IFNA(VLOOKUP(C50,merchants!$A$2:$D$41,2,FALSE),"Merchant not found")</f>
        <v>Merchant_006</v>
      </c>
      <c r="J50" t="str">
        <f>_xlfn.IFNA(VLOOKUP(C50,merchants!$A$2:$D$41,3,FALSE),"Merchant not found")</f>
        <v>food_delivery</v>
      </c>
      <c r="K50" t="str">
        <f>_xlfn.IFNA(VLOOKUP(C50,merchants!$A$2:$D$41,4,FALSE),"Merchant not found")</f>
        <v>South</v>
      </c>
      <c r="L50">
        <f t="shared" si="0"/>
        <v>46041</v>
      </c>
      <c r="M50">
        <f t="shared" si="1"/>
        <v>0</v>
      </c>
      <c r="N50" t="str">
        <f t="shared" si="2"/>
        <v>Standard</v>
      </c>
      <c r="O50">
        <f>HLOOKUP(F50,fee_lookup!$B$1:$E$2,2,FALSE)</f>
        <v>0.01</v>
      </c>
    </row>
    <row r="51" spans="1:15" x14ac:dyDescent="0.3">
      <c r="A51" t="s">
        <v>282</v>
      </c>
      <c r="B51" t="s">
        <v>283</v>
      </c>
      <c r="C51" t="s">
        <v>34</v>
      </c>
      <c r="D51" t="s">
        <v>284</v>
      </c>
      <c r="E51" t="s">
        <v>112</v>
      </c>
      <c r="F51" t="s">
        <v>113</v>
      </c>
      <c r="G51" t="s">
        <v>107</v>
      </c>
      <c r="H51" t="s">
        <v>20</v>
      </c>
      <c r="I51" t="str">
        <f>_xlfn.IFNA(VLOOKUP(C51,merchants!$A$2:$D$41,2,FALSE),"Merchant not found")</f>
        <v>Merchant_012</v>
      </c>
      <c r="J51" t="str">
        <f>_xlfn.IFNA(VLOOKUP(C51,merchants!$A$2:$D$41,3,FALSE),"Merchant not found")</f>
        <v>ecommerce</v>
      </c>
      <c r="K51" t="str">
        <f>_xlfn.IFNA(VLOOKUP(C51,merchants!$A$2:$D$41,4,FALSE),"Merchant not found")</f>
        <v>East</v>
      </c>
      <c r="L51">
        <f t="shared" si="0"/>
        <v>46036</v>
      </c>
      <c r="M51">
        <f t="shared" si="1"/>
        <v>0</v>
      </c>
      <c r="N51" t="str">
        <f t="shared" si="2"/>
        <v>Standard</v>
      </c>
      <c r="O51">
        <f>HLOOKUP(F51,fee_lookup!$B$1:$E$2,2,FALSE)</f>
        <v>2E-3</v>
      </c>
    </row>
    <row r="52" spans="1:15" x14ac:dyDescent="0.3">
      <c r="A52" t="s">
        <v>285</v>
      </c>
      <c r="B52" t="s">
        <v>286</v>
      </c>
      <c r="C52" t="s">
        <v>72</v>
      </c>
      <c r="D52" t="s">
        <v>287</v>
      </c>
      <c r="E52" t="s">
        <v>127</v>
      </c>
      <c r="F52" t="s">
        <v>113</v>
      </c>
      <c r="G52" t="s">
        <v>107</v>
      </c>
      <c r="H52" t="s">
        <v>288</v>
      </c>
      <c r="I52" t="str">
        <f>_xlfn.IFNA(VLOOKUP(C52,merchants!$A$2:$D$41,2,FALSE),"Merchant not found")</f>
        <v>Merchant_030</v>
      </c>
      <c r="J52" t="str">
        <f>_xlfn.IFNA(VLOOKUP(C52,merchants!$A$2:$D$41,3,FALSE),"Merchant not found")</f>
        <v>travel</v>
      </c>
      <c r="K52" t="str">
        <f>_xlfn.IFNA(VLOOKUP(C52,merchants!$A$2:$D$41,4,FALSE),"Merchant not found")</f>
        <v>West</v>
      </c>
      <c r="L52">
        <f t="shared" si="0"/>
        <v>46031</v>
      </c>
      <c r="M52">
        <f t="shared" si="1"/>
        <v>0</v>
      </c>
      <c r="N52" t="str">
        <f t="shared" si="2"/>
        <v>Standard</v>
      </c>
      <c r="O52">
        <f>HLOOKUP(F52,fee_lookup!$B$1:$E$2,2,FALSE)</f>
        <v>2E-3</v>
      </c>
    </row>
    <row r="53" spans="1:15" x14ac:dyDescent="0.3">
      <c r="A53" t="s">
        <v>289</v>
      </c>
      <c r="B53" t="s">
        <v>254</v>
      </c>
      <c r="C53" t="s">
        <v>46</v>
      </c>
      <c r="D53" t="s">
        <v>290</v>
      </c>
      <c r="E53" t="s">
        <v>274</v>
      </c>
      <c r="F53" t="s">
        <v>113</v>
      </c>
      <c r="G53" t="s">
        <v>107</v>
      </c>
      <c r="H53" t="s">
        <v>30</v>
      </c>
      <c r="I53" t="str">
        <f>_xlfn.IFNA(VLOOKUP(C53,merchants!$A$2:$D$41,2,FALSE),"Merchant not found")</f>
        <v>Merchant_017</v>
      </c>
      <c r="J53" t="str">
        <f>_xlfn.IFNA(VLOOKUP(C53,merchants!$A$2:$D$41,3,FALSE),"Merchant not found")</f>
        <v>grocery</v>
      </c>
      <c r="K53" t="str">
        <f>_xlfn.IFNA(VLOOKUP(C53,merchants!$A$2:$D$41,4,FALSE),"Merchant not found")</f>
        <v>North</v>
      </c>
      <c r="L53">
        <f t="shared" si="0"/>
        <v>46033</v>
      </c>
      <c r="M53">
        <f t="shared" si="1"/>
        <v>0</v>
      </c>
      <c r="N53" t="str">
        <f t="shared" si="2"/>
        <v>Standard</v>
      </c>
      <c r="O53">
        <f>HLOOKUP(F53,fee_lookup!$B$1:$E$2,2,FALSE)</f>
        <v>2E-3</v>
      </c>
    </row>
    <row r="54" spans="1:15" x14ac:dyDescent="0.3">
      <c r="A54" t="s">
        <v>291</v>
      </c>
      <c r="B54" t="s">
        <v>245</v>
      </c>
      <c r="C54" t="s">
        <v>15</v>
      </c>
      <c r="D54" t="s">
        <v>292</v>
      </c>
      <c r="E54" t="s">
        <v>140</v>
      </c>
      <c r="F54" t="s">
        <v>113</v>
      </c>
      <c r="G54" t="s">
        <v>107</v>
      </c>
      <c r="H54" t="s">
        <v>141</v>
      </c>
      <c r="I54" t="str">
        <f>_xlfn.IFNA(VLOOKUP(C54,merchants!$A$2:$D$41,2,FALSE),"Merchant not found")</f>
        <v>Merchant_004</v>
      </c>
      <c r="J54" t="str">
        <f>_xlfn.IFNA(VLOOKUP(C54,merchants!$A$2:$D$41,3,FALSE),"Merchant not found")</f>
        <v>ecommerce</v>
      </c>
      <c r="K54" t="str">
        <f>_xlfn.IFNA(VLOOKUP(C54,merchants!$A$2:$D$41,4,FALSE),"Merchant not found")</f>
        <v>East</v>
      </c>
      <c r="L54">
        <f t="shared" si="0"/>
        <v>46038</v>
      </c>
      <c r="M54">
        <f t="shared" si="1"/>
        <v>0</v>
      </c>
      <c r="N54" t="str">
        <f t="shared" si="2"/>
        <v>Standard</v>
      </c>
      <c r="O54">
        <f>HLOOKUP(F54,fee_lookup!$B$1:$E$2,2,FALSE)</f>
        <v>2E-3</v>
      </c>
    </row>
    <row r="55" spans="1:15" x14ac:dyDescent="0.3">
      <c r="A55" t="s">
        <v>293</v>
      </c>
      <c r="B55" t="s">
        <v>294</v>
      </c>
      <c r="C55" t="s">
        <v>12</v>
      </c>
      <c r="D55" t="s">
        <v>295</v>
      </c>
      <c r="E55" t="s">
        <v>227</v>
      </c>
      <c r="F55" t="s">
        <v>106</v>
      </c>
      <c r="G55" t="s">
        <v>107</v>
      </c>
      <c r="H55" t="s">
        <v>296</v>
      </c>
      <c r="I55" t="str">
        <f>_xlfn.IFNA(VLOOKUP(C55,merchants!$A$2:$D$41,2,FALSE),"Merchant not found")</f>
        <v>Merchant_003</v>
      </c>
      <c r="J55" t="str">
        <f>_xlfn.IFNA(VLOOKUP(C55,merchants!$A$2:$D$41,3,FALSE),"Merchant not found")</f>
        <v>grocery</v>
      </c>
      <c r="K55" t="str">
        <f>_xlfn.IFNA(VLOOKUP(C55,merchants!$A$2:$D$41,4,FALSE),"Merchant not found")</f>
        <v>East</v>
      </c>
      <c r="L55">
        <f t="shared" si="0"/>
        <v>46030</v>
      </c>
      <c r="M55">
        <f t="shared" si="1"/>
        <v>0</v>
      </c>
      <c r="N55" t="str">
        <f t="shared" si="2"/>
        <v>Standard</v>
      </c>
      <c r="O55">
        <f>HLOOKUP(F55,fee_lookup!$B$1:$E$2,2,FALSE)</f>
        <v>0.01</v>
      </c>
    </row>
    <row r="56" spans="1:15" x14ac:dyDescent="0.3">
      <c r="A56" t="s">
        <v>297</v>
      </c>
      <c r="B56" t="s">
        <v>32</v>
      </c>
      <c r="C56" t="s">
        <v>93</v>
      </c>
      <c r="D56" t="s">
        <v>298</v>
      </c>
      <c r="E56" t="s">
        <v>145</v>
      </c>
      <c r="F56" t="s">
        <v>113</v>
      </c>
      <c r="G56" t="s">
        <v>107</v>
      </c>
      <c r="H56" t="s">
        <v>50</v>
      </c>
      <c r="I56" t="str">
        <f>_xlfn.IFNA(VLOOKUP(C56,merchants!$A$2:$D$41,2,FALSE),"Merchant not found")</f>
        <v>Merchant_040</v>
      </c>
      <c r="J56" t="str">
        <f>_xlfn.IFNA(VLOOKUP(C56,merchants!$A$2:$D$41,3,FALSE),"Merchant not found")</f>
        <v>entertainment</v>
      </c>
      <c r="K56" t="str">
        <f>_xlfn.IFNA(VLOOKUP(C56,merchants!$A$2:$D$41,4,FALSE),"Merchant not found")</f>
        <v>South</v>
      </c>
      <c r="L56">
        <f t="shared" si="0"/>
        <v>46023</v>
      </c>
      <c r="M56">
        <f t="shared" si="1"/>
        <v>0</v>
      </c>
      <c r="N56" t="str">
        <f t="shared" si="2"/>
        <v>Standard</v>
      </c>
      <c r="O56">
        <f>HLOOKUP(F56,fee_lookup!$B$1:$E$2,2,FALSE)</f>
        <v>2E-3</v>
      </c>
    </row>
    <row r="57" spans="1:15" x14ac:dyDescent="0.3">
      <c r="A57" t="s">
        <v>299</v>
      </c>
      <c r="B57" t="s">
        <v>125</v>
      </c>
      <c r="C57" t="s">
        <v>25</v>
      </c>
      <c r="D57" t="s">
        <v>300</v>
      </c>
      <c r="E57" t="s">
        <v>127</v>
      </c>
      <c r="F57" t="s">
        <v>113</v>
      </c>
      <c r="G57" t="s">
        <v>107</v>
      </c>
      <c r="H57" t="s">
        <v>301</v>
      </c>
      <c r="I57" t="str">
        <f>_xlfn.IFNA(VLOOKUP(C57,merchants!$A$2:$D$41,2,FALSE),"Merchant not found")</f>
        <v>Merchant_008</v>
      </c>
      <c r="J57" t="str">
        <f>_xlfn.IFNA(VLOOKUP(C57,merchants!$A$2:$D$41,3,FALSE),"Merchant not found")</f>
        <v>food_delivery</v>
      </c>
      <c r="K57" t="str">
        <f>_xlfn.IFNA(VLOOKUP(C57,merchants!$A$2:$D$41,4,FALSE),"Merchant not found")</f>
        <v>North</v>
      </c>
      <c r="L57">
        <f t="shared" si="0"/>
        <v>46030</v>
      </c>
      <c r="M57">
        <f t="shared" si="1"/>
        <v>0</v>
      </c>
      <c r="N57" t="str">
        <f t="shared" si="2"/>
        <v>Standard</v>
      </c>
      <c r="O57">
        <f>HLOOKUP(F57,fee_lookup!$B$1:$E$2,2,FALSE)</f>
        <v>2E-3</v>
      </c>
    </row>
    <row r="58" spans="1:15" x14ac:dyDescent="0.3">
      <c r="A58" t="s">
        <v>302</v>
      </c>
      <c r="B58" t="s">
        <v>303</v>
      </c>
      <c r="C58" t="s">
        <v>60</v>
      </c>
      <c r="D58" t="s">
        <v>304</v>
      </c>
      <c r="E58" t="s">
        <v>145</v>
      </c>
      <c r="F58" t="s">
        <v>106</v>
      </c>
      <c r="G58" t="s">
        <v>107</v>
      </c>
      <c r="H58" t="s">
        <v>54</v>
      </c>
      <c r="I58" t="str">
        <f>_xlfn.IFNA(VLOOKUP(C58,merchants!$A$2:$D$41,2,FALSE),"Merchant not found")</f>
        <v>Merchant_024</v>
      </c>
      <c r="J58" t="str">
        <f>_xlfn.IFNA(VLOOKUP(C58,merchants!$A$2:$D$41,3,FALSE),"Merchant not found")</f>
        <v>grocery</v>
      </c>
      <c r="K58" t="str">
        <f>_xlfn.IFNA(VLOOKUP(C58,merchants!$A$2:$D$41,4,FALSE),"Merchant not found")</f>
        <v>North</v>
      </c>
      <c r="L58">
        <f t="shared" si="0"/>
        <v>46029</v>
      </c>
      <c r="M58">
        <f t="shared" si="1"/>
        <v>0</v>
      </c>
      <c r="N58" t="str">
        <f t="shared" si="2"/>
        <v>Standard</v>
      </c>
      <c r="O58">
        <f>HLOOKUP(F58,fee_lookup!$B$1:$E$2,2,FALSE)</f>
        <v>0.01</v>
      </c>
    </row>
    <row r="59" spans="1:15" x14ac:dyDescent="0.3">
      <c r="A59" t="s">
        <v>305</v>
      </c>
      <c r="B59" t="s">
        <v>191</v>
      </c>
      <c r="C59" t="s">
        <v>32</v>
      </c>
      <c r="D59" t="s">
        <v>306</v>
      </c>
      <c r="E59" t="s">
        <v>145</v>
      </c>
      <c r="F59" t="s">
        <v>113</v>
      </c>
      <c r="G59" t="s">
        <v>107</v>
      </c>
      <c r="H59" t="s">
        <v>91</v>
      </c>
      <c r="I59" t="str">
        <f>_xlfn.IFNA(VLOOKUP(C59,merchants!$A$2:$D$41,2,FALSE),"Merchant not found")</f>
        <v>Merchant_011</v>
      </c>
      <c r="J59" t="str">
        <f>_xlfn.IFNA(VLOOKUP(C59,merchants!$A$2:$D$41,3,FALSE),"Merchant not found")</f>
        <v>ecommerce</v>
      </c>
      <c r="K59" t="str">
        <f>_xlfn.IFNA(VLOOKUP(C59,merchants!$A$2:$D$41,4,FALSE),"Merchant not found")</f>
        <v>North</v>
      </c>
      <c r="L59">
        <f t="shared" si="0"/>
        <v>46042</v>
      </c>
      <c r="M59">
        <f t="shared" si="1"/>
        <v>0</v>
      </c>
      <c r="N59" t="str">
        <f t="shared" si="2"/>
        <v>Standard</v>
      </c>
      <c r="O59">
        <f>HLOOKUP(F59,fee_lookup!$B$1:$E$2,2,FALSE)</f>
        <v>2E-3</v>
      </c>
    </row>
    <row r="60" spans="1:15" x14ac:dyDescent="0.3">
      <c r="A60" t="s">
        <v>307</v>
      </c>
      <c r="B60" t="s">
        <v>308</v>
      </c>
      <c r="C60" t="s">
        <v>87</v>
      </c>
      <c r="D60" t="s">
        <v>309</v>
      </c>
      <c r="E60" t="s">
        <v>112</v>
      </c>
      <c r="F60" t="s">
        <v>106</v>
      </c>
      <c r="G60" t="s">
        <v>107</v>
      </c>
      <c r="H60" t="s">
        <v>180</v>
      </c>
      <c r="I60" t="str">
        <f>_xlfn.IFNA(VLOOKUP(C60,merchants!$A$2:$D$41,2,FALSE),"Merchant not found")</f>
        <v>Merchant_037</v>
      </c>
      <c r="J60" t="str">
        <f>_xlfn.IFNA(VLOOKUP(C60,merchants!$A$2:$D$41,3,FALSE),"Merchant not found")</f>
        <v>entertainment</v>
      </c>
      <c r="K60" t="str">
        <f>_xlfn.IFNA(VLOOKUP(C60,merchants!$A$2:$D$41,4,FALSE),"Merchant not found")</f>
        <v>South</v>
      </c>
      <c r="L60">
        <f t="shared" si="0"/>
        <v>46026</v>
      </c>
      <c r="M60">
        <f t="shared" si="1"/>
        <v>0</v>
      </c>
      <c r="N60" t="str">
        <f t="shared" si="2"/>
        <v>Standard</v>
      </c>
      <c r="O60">
        <f>HLOOKUP(F60,fee_lookup!$B$1:$E$2,2,FALSE)</f>
        <v>0.01</v>
      </c>
    </row>
    <row r="61" spans="1:15" x14ac:dyDescent="0.3">
      <c r="A61" t="s">
        <v>310</v>
      </c>
      <c r="B61" t="s">
        <v>311</v>
      </c>
      <c r="C61" t="s">
        <v>17</v>
      </c>
      <c r="D61" t="s">
        <v>312</v>
      </c>
      <c r="E61" t="s">
        <v>105</v>
      </c>
      <c r="F61" t="s">
        <v>113</v>
      </c>
      <c r="G61" t="s">
        <v>107</v>
      </c>
      <c r="H61" t="s">
        <v>313</v>
      </c>
      <c r="I61" t="str">
        <f>_xlfn.IFNA(VLOOKUP(C61,merchants!$A$2:$D$41,2,FALSE),"Merchant not found")</f>
        <v>Merchant_005</v>
      </c>
      <c r="J61" t="str">
        <f>_xlfn.IFNA(VLOOKUP(C61,merchants!$A$2:$D$41,3,FALSE),"Merchant not found")</f>
        <v>recharge</v>
      </c>
      <c r="K61" t="str">
        <f>_xlfn.IFNA(VLOOKUP(C61,merchants!$A$2:$D$41,4,FALSE),"Merchant not found")</f>
        <v>South</v>
      </c>
      <c r="L61">
        <f t="shared" si="0"/>
        <v>46052</v>
      </c>
      <c r="M61">
        <f t="shared" si="1"/>
        <v>0</v>
      </c>
      <c r="N61" t="str">
        <f t="shared" si="2"/>
        <v>Standard</v>
      </c>
      <c r="O61">
        <f>HLOOKUP(F61,fee_lookup!$B$1:$E$2,2,FALSE)</f>
        <v>2E-3</v>
      </c>
    </row>
    <row r="62" spans="1:15" x14ac:dyDescent="0.3">
      <c r="A62" t="s">
        <v>314</v>
      </c>
      <c r="B62" t="s">
        <v>252</v>
      </c>
      <c r="C62" t="s">
        <v>52</v>
      </c>
      <c r="D62" t="s">
        <v>315</v>
      </c>
      <c r="E62" t="s">
        <v>112</v>
      </c>
      <c r="F62" t="s">
        <v>122</v>
      </c>
      <c r="G62" t="s">
        <v>107</v>
      </c>
      <c r="H62" t="s">
        <v>316</v>
      </c>
      <c r="I62" t="str">
        <f>_xlfn.IFNA(VLOOKUP(C62,merchants!$A$2:$D$41,2,FALSE),"Merchant not found")</f>
        <v>Merchant_020</v>
      </c>
      <c r="J62" t="str">
        <f>_xlfn.IFNA(VLOOKUP(C62,merchants!$A$2:$D$41,3,FALSE),"Merchant not found")</f>
        <v>food_delivery</v>
      </c>
      <c r="K62" t="str">
        <f>_xlfn.IFNA(VLOOKUP(C62,merchants!$A$2:$D$41,4,FALSE),"Merchant not found")</f>
        <v>East</v>
      </c>
      <c r="L62">
        <f t="shared" si="0"/>
        <v>46045</v>
      </c>
      <c r="M62">
        <f t="shared" si="1"/>
        <v>0</v>
      </c>
      <c r="N62" t="str">
        <f t="shared" si="2"/>
        <v>Standard</v>
      </c>
      <c r="O62">
        <f>HLOOKUP(F62,fee_lookup!$B$1:$E$2,2,FALSE)</f>
        <v>1.2E-2</v>
      </c>
    </row>
    <row r="63" spans="1:15" x14ac:dyDescent="0.3">
      <c r="A63" t="s">
        <v>317</v>
      </c>
      <c r="B63" t="s">
        <v>318</v>
      </c>
      <c r="C63" t="s">
        <v>12</v>
      </c>
      <c r="D63" t="s">
        <v>319</v>
      </c>
      <c r="E63" t="s">
        <v>127</v>
      </c>
      <c r="F63" t="s">
        <v>106</v>
      </c>
      <c r="G63" t="s">
        <v>107</v>
      </c>
      <c r="H63" t="s">
        <v>141</v>
      </c>
      <c r="I63" t="str">
        <f>_xlfn.IFNA(VLOOKUP(C63,merchants!$A$2:$D$41,2,FALSE),"Merchant not found")</f>
        <v>Merchant_003</v>
      </c>
      <c r="J63" t="str">
        <f>_xlfn.IFNA(VLOOKUP(C63,merchants!$A$2:$D$41,3,FALSE),"Merchant not found")</f>
        <v>grocery</v>
      </c>
      <c r="K63" t="str">
        <f>_xlfn.IFNA(VLOOKUP(C63,merchants!$A$2:$D$41,4,FALSE),"Merchant not found")</f>
        <v>East</v>
      </c>
      <c r="L63">
        <f t="shared" si="0"/>
        <v>46042</v>
      </c>
      <c r="M63">
        <f t="shared" si="1"/>
        <v>0</v>
      </c>
      <c r="N63" t="str">
        <f t="shared" si="2"/>
        <v>Standard</v>
      </c>
      <c r="O63">
        <f>HLOOKUP(F63,fee_lookup!$B$1:$E$2,2,FALSE)</f>
        <v>0.01</v>
      </c>
    </row>
    <row r="64" spans="1:15" x14ac:dyDescent="0.3">
      <c r="A64" t="s">
        <v>320</v>
      </c>
      <c r="B64" t="s">
        <v>321</v>
      </c>
      <c r="C64" t="s">
        <v>17</v>
      </c>
      <c r="D64" t="s">
        <v>322</v>
      </c>
      <c r="E64" t="s">
        <v>145</v>
      </c>
      <c r="F64" t="s">
        <v>113</v>
      </c>
      <c r="G64" t="s">
        <v>107</v>
      </c>
      <c r="H64" t="s">
        <v>323</v>
      </c>
      <c r="I64" t="str">
        <f>_xlfn.IFNA(VLOOKUP(C64,merchants!$A$2:$D$41,2,FALSE),"Merchant not found")</f>
        <v>Merchant_005</v>
      </c>
      <c r="J64" t="str">
        <f>_xlfn.IFNA(VLOOKUP(C64,merchants!$A$2:$D$41,3,FALSE),"Merchant not found")</f>
        <v>recharge</v>
      </c>
      <c r="K64" t="str">
        <f>_xlfn.IFNA(VLOOKUP(C64,merchants!$A$2:$D$41,4,FALSE),"Merchant not found")</f>
        <v>South</v>
      </c>
      <c r="L64">
        <f t="shared" si="0"/>
        <v>46040</v>
      </c>
      <c r="M64">
        <f t="shared" si="1"/>
        <v>0</v>
      </c>
      <c r="N64" t="str">
        <f t="shared" si="2"/>
        <v>Standard</v>
      </c>
      <c r="O64">
        <f>HLOOKUP(F64,fee_lookup!$B$1:$E$2,2,FALSE)</f>
        <v>2E-3</v>
      </c>
    </row>
    <row r="65" spans="1:15" x14ac:dyDescent="0.3">
      <c r="A65" t="s">
        <v>324</v>
      </c>
      <c r="B65" t="s">
        <v>254</v>
      </c>
      <c r="C65" t="s">
        <v>76</v>
      </c>
      <c r="D65" t="s">
        <v>325</v>
      </c>
      <c r="E65" t="s">
        <v>112</v>
      </c>
      <c r="F65" t="s">
        <v>154</v>
      </c>
      <c r="G65" t="s">
        <v>107</v>
      </c>
      <c r="H65" t="s">
        <v>36</v>
      </c>
      <c r="I65" t="str">
        <f>_xlfn.IFNA(VLOOKUP(C65,merchants!$A$2:$D$41,2,FALSE),"Merchant not found")</f>
        <v>Merchant_032</v>
      </c>
      <c r="J65" t="str">
        <f>_xlfn.IFNA(VLOOKUP(C65,merchants!$A$2:$D$41,3,FALSE),"Merchant not found")</f>
        <v>food_delivery</v>
      </c>
      <c r="K65" t="str">
        <f>_xlfn.IFNA(VLOOKUP(C65,merchants!$A$2:$D$41,4,FALSE),"Merchant not found")</f>
        <v>West</v>
      </c>
      <c r="L65">
        <f t="shared" si="0"/>
        <v>46043</v>
      </c>
      <c r="M65">
        <f t="shared" si="1"/>
        <v>0</v>
      </c>
      <c r="N65" t="str">
        <f t="shared" si="2"/>
        <v>Standard</v>
      </c>
      <c r="O65">
        <f>HLOOKUP(F65,fee_lookup!$B$1:$E$2,2,FALSE)</f>
        <v>1.7999999999999999E-2</v>
      </c>
    </row>
    <row r="66" spans="1:15" x14ac:dyDescent="0.3">
      <c r="A66" t="s">
        <v>326</v>
      </c>
      <c r="B66" t="s">
        <v>133</v>
      </c>
      <c r="C66" t="s">
        <v>30</v>
      </c>
      <c r="D66" t="s">
        <v>327</v>
      </c>
      <c r="E66" t="s">
        <v>220</v>
      </c>
      <c r="F66" t="s">
        <v>113</v>
      </c>
      <c r="G66" t="s">
        <v>107</v>
      </c>
      <c r="H66" t="s">
        <v>187</v>
      </c>
      <c r="I66" t="str">
        <f>_xlfn.IFNA(VLOOKUP(C66,merchants!$A$2:$D$41,2,FALSE),"Merchant not found")</f>
        <v>Merchant_010</v>
      </c>
      <c r="J66" t="str">
        <f>_xlfn.IFNA(VLOOKUP(C66,merchants!$A$2:$D$41,3,FALSE),"Merchant not found")</f>
        <v>grocery</v>
      </c>
      <c r="K66" t="str">
        <f>_xlfn.IFNA(VLOOKUP(C66,merchants!$A$2:$D$41,4,FALSE),"Merchant not found")</f>
        <v>West</v>
      </c>
      <c r="L66">
        <f t="shared" ref="L66:L129" si="3">DATE(LEFT(D66,4),MID(D66,6,2),MID(D66,9,2))</f>
        <v>46036</v>
      </c>
      <c r="M66">
        <f t="shared" ref="M66:M129" si="4">SUMIFS($E:$E,$C:$C,C66,$L:$L,L66)</f>
        <v>0</v>
      </c>
      <c r="N66" t="str">
        <f t="shared" ref="N66:N129" si="5">IF(AND(M66&gt;5000,K66&lt;&gt;"East"),"High-Value Merchant Day","Standard")</f>
        <v>Standard</v>
      </c>
      <c r="O66">
        <f>HLOOKUP(F66,fee_lookup!$B$1:$E$2,2,FALSE)</f>
        <v>2E-3</v>
      </c>
    </row>
    <row r="67" spans="1:15" x14ac:dyDescent="0.3">
      <c r="A67" t="s">
        <v>328</v>
      </c>
      <c r="B67" t="s">
        <v>294</v>
      </c>
      <c r="C67" t="s">
        <v>48</v>
      </c>
      <c r="D67" t="s">
        <v>329</v>
      </c>
      <c r="E67" t="s">
        <v>220</v>
      </c>
      <c r="F67" t="s">
        <v>154</v>
      </c>
      <c r="G67" t="s">
        <v>107</v>
      </c>
      <c r="H67" t="s">
        <v>208</v>
      </c>
      <c r="I67" t="str">
        <f>_xlfn.IFNA(VLOOKUP(C67,merchants!$A$2:$D$41,2,FALSE),"Merchant not found")</f>
        <v>Merchant_018</v>
      </c>
      <c r="J67" t="str">
        <f>_xlfn.IFNA(VLOOKUP(C67,merchants!$A$2:$D$41,3,FALSE),"Merchant not found")</f>
        <v>grocery</v>
      </c>
      <c r="K67" t="str">
        <f>_xlfn.IFNA(VLOOKUP(C67,merchants!$A$2:$D$41,4,FALSE),"Merchant not found")</f>
        <v>West</v>
      </c>
      <c r="L67">
        <f t="shared" si="3"/>
        <v>46028</v>
      </c>
      <c r="M67">
        <f t="shared" si="4"/>
        <v>0</v>
      </c>
      <c r="N67" t="str">
        <f t="shared" si="5"/>
        <v>Standard</v>
      </c>
      <c r="O67">
        <f>HLOOKUP(F67,fee_lookup!$B$1:$E$2,2,FALSE)</f>
        <v>1.7999999999999999E-2</v>
      </c>
    </row>
    <row r="68" spans="1:15" x14ac:dyDescent="0.3">
      <c r="A68" t="s">
        <v>330</v>
      </c>
      <c r="B68" t="s">
        <v>331</v>
      </c>
      <c r="C68" t="s">
        <v>72</v>
      </c>
      <c r="D68" t="s">
        <v>332</v>
      </c>
      <c r="E68" t="s">
        <v>140</v>
      </c>
      <c r="F68" t="s">
        <v>106</v>
      </c>
      <c r="G68" t="s">
        <v>107</v>
      </c>
      <c r="H68" t="s">
        <v>187</v>
      </c>
      <c r="I68" t="str">
        <f>_xlfn.IFNA(VLOOKUP(C68,merchants!$A$2:$D$41,2,FALSE),"Merchant not found")</f>
        <v>Merchant_030</v>
      </c>
      <c r="J68" t="str">
        <f>_xlfn.IFNA(VLOOKUP(C68,merchants!$A$2:$D$41,3,FALSE),"Merchant not found")</f>
        <v>travel</v>
      </c>
      <c r="K68" t="str">
        <f>_xlfn.IFNA(VLOOKUP(C68,merchants!$A$2:$D$41,4,FALSE),"Merchant not found")</f>
        <v>West</v>
      </c>
      <c r="L68">
        <f t="shared" si="3"/>
        <v>46048</v>
      </c>
      <c r="M68">
        <f t="shared" si="4"/>
        <v>0</v>
      </c>
      <c r="N68" t="str">
        <f t="shared" si="5"/>
        <v>Standard</v>
      </c>
      <c r="O68">
        <f>HLOOKUP(F68,fee_lookup!$B$1:$E$2,2,FALSE)</f>
        <v>0.01</v>
      </c>
    </row>
    <row r="69" spans="1:15" x14ac:dyDescent="0.3">
      <c r="A69" t="s">
        <v>333</v>
      </c>
      <c r="B69" t="s">
        <v>334</v>
      </c>
      <c r="C69" t="s">
        <v>54</v>
      </c>
      <c r="D69" t="s">
        <v>335</v>
      </c>
      <c r="E69" t="s">
        <v>112</v>
      </c>
      <c r="F69" t="s">
        <v>154</v>
      </c>
      <c r="G69" t="s">
        <v>107</v>
      </c>
      <c r="H69" t="s">
        <v>74</v>
      </c>
      <c r="I69" t="str">
        <f>_xlfn.IFNA(VLOOKUP(C69,merchants!$A$2:$D$41,2,FALSE),"Merchant not found")</f>
        <v>Merchant_021</v>
      </c>
      <c r="J69" t="str">
        <f>_xlfn.IFNA(VLOOKUP(C69,merchants!$A$2:$D$41,3,FALSE),"Merchant not found")</f>
        <v>food_delivery</v>
      </c>
      <c r="K69" t="str">
        <f>_xlfn.IFNA(VLOOKUP(C69,merchants!$A$2:$D$41,4,FALSE),"Merchant not found")</f>
        <v>East</v>
      </c>
      <c r="L69">
        <f t="shared" si="3"/>
        <v>46049</v>
      </c>
      <c r="M69">
        <f t="shared" si="4"/>
        <v>0</v>
      </c>
      <c r="N69" t="str">
        <f t="shared" si="5"/>
        <v>Standard</v>
      </c>
      <c r="O69">
        <f>HLOOKUP(F69,fee_lookup!$B$1:$E$2,2,FALSE)</f>
        <v>1.7999999999999999E-2</v>
      </c>
    </row>
    <row r="70" spans="1:15" x14ac:dyDescent="0.3">
      <c r="A70" t="s">
        <v>336</v>
      </c>
      <c r="B70" t="s">
        <v>337</v>
      </c>
      <c r="C70" t="s">
        <v>43</v>
      </c>
      <c r="D70" t="s">
        <v>338</v>
      </c>
      <c r="E70" t="s">
        <v>112</v>
      </c>
      <c r="F70" t="s">
        <v>113</v>
      </c>
      <c r="G70" t="s">
        <v>107</v>
      </c>
      <c r="H70" t="s">
        <v>296</v>
      </c>
      <c r="I70" t="str">
        <f>_xlfn.IFNA(VLOOKUP(C70,merchants!$A$2:$D$41,2,FALSE),"Merchant not found")</f>
        <v>Merchant_016</v>
      </c>
      <c r="J70" t="str">
        <f>_xlfn.IFNA(VLOOKUP(C70,merchants!$A$2:$D$41,3,FALSE),"Merchant not found")</f>
        <v>bill_payment</v>
      </c>
      <c r="K70" t="str">
        <f>_xlfn.IFNA(VLOOKUP(C70,merchants!$A$2:$D$41,4,FALSE),"Merchant not found")</f>
        <v>West</v>
      </c>
      <c r="L70">
        <f t="shared" si="3"/>
        <v>46049</v>
      </c>
      <c r="M70">
        <f t="shared" si="4"/>
        <v>0</v>
      </c>
      <c r="N70" t="str">
        <f t="shared" si="5"/>
        <v>Standard</v>
      </c>
      <c r="O70">
        <f>HLOOKUP(F70,fee_lookup!$B$1:$E$2,2,FALSE)</f>
        <v>2E-3</v>
      </c>
    </row>
    <row r="71" spans="1:15" x14ac:dyDescent="0.3">
      <c r="A71" t="s">
        <v>339</v>
      </c>
      <c r="B71" t="s">
        <v>125</v>
      </c>
      <c r="C71" t="s">
        <v>62</v>
      </c>
      <c r="D71" t="s">
        <v>340</v>
      </c>
      <c r="E71" t="s">
        <v>112</v>
      </c>
      <c r="F71" t="s">
        <v>113</v>
      </c>
      <c r="G71" t="s">
        <v>107</v>
      </c>
      <c r="H71" t="s">
        <v>341</v>
      </c>
      <c r="I71" t="str">
        <f>_xlfn.IFNA(VLOOKUP(C71,merchants!$A$2:$D$41,2,FALSE),"Merchant not found")</f>
        <v>Merchant_025</v>
      </c>
      <c r="J71" t="str">
        <f>_xlfn.IFNA(VLOOKUP(C71,merchants!$A$2:$D$41,3,FALSE),"Merchant not found")</f>
        <v>travel</v>
      </c>
      <c r="K71" t="str">
        <f>_xlfn.IFNA(VLOOKUP(C71,merchants!$A$2:$D$41,4,FALSE),"Merchant not found")</f>
        <v>South</v>
      </c>
      <c r="L71">
        <f t="shared" si="3"/>
        <v>46037</v>
      </c>
      <c r="M71">
        <f t="shared" si="4"/>
        <v>0</v>
      </c>
      <c r="N71" t="str">
        <f t="shared" si="5"/>
        <v>Standard</v>
      </c>
      <c r="O71">
        <f>HLOOKUP(F71,fee_lookup!$B$1:$E$2,2,FALSE)</f>
        <v>2E-3</v>
      </c>
    </row>
    <row r="72" spans="1:15" x14ac:dyDescent="0.3">
      <c r="A72" t="s">
        <v>342</v>
      </c>
      <c r="B72" t="s">
        <v>343</v>
      </c>
      <c r="C72" t="s">
        <v>34</v>
      </c>
      <c r="D72" t="s">
        <v>344</v>
      </c>
      <c r="E72" t="s">
        <v>220</v>
      </c>
      <c r="F72" t="s">
        <v>106</v>
      </c>
      <c r="G72" t="s">
        <v>107</v>
      </c>
      <c r="H72" t="s">
        <v>267</v>
      </c>
      <c r="I72" t="str">
        <f>_xlfn.IFNA(VLOOKUP(C72,merchants!$A$2:$D$41,2,FALSE),"Merchant not found")</f>
        <v>Merchant_012</v>
      </c>
      <c r="J72" t="str">
        <f>_xlfn.IFNA(VLOOKUP(C72,merchants!$A$2:$D$41,3,FALSE),"Merchant not found")</f>
        <v>ecommerce</v>
      </c>
      <c r="K72" t="str">
        <f>_xlfn.IFNA(VLOOKUP(C72,merchants!$A$2:$D$41,4,FALSE),"Merchant not found")</f>
        <v>East</v>
      </c>
      <c r="L72">
        <f t="shared" si="3"/>
        <v>46023</v>
      </c>
      <c r="M72">
        <f t="shared" si="4"/>
        <v>0</v>
      </c>
      <c r="N72" t="str">
        <f t="shared" si="5"/>
        <v>Standard</v>
      </c>
      <c r="O72">
        <f>HLOOKUP(F72,fee_lookup!$B$1:$E$2,2,FALSE)</f>
        <v>0.01</v>
      </c>
    </row>
    <row r="73" spans="1:15" x14ac:dyDescent="0.3">
      <c r="A73" t="s">
        <v>345</v>
      </c>
      <c r="B73" t="s">
        <v>346</v>
      </c>
      <c r="C73" t="s">
        <v>56</v>
      </c>
      <c r="D73" t="s">
        <v>347</v>
      </c>
      <c r="E73" t="s">
        <v>220</v>
      </c>
      <c r="F73" t="s">
        <v>113</v>
      </c>
      <c r="G73" t="s">
        <v>107</v>
      </c>
      <c r="H73" t="s">
        <v>82</v>
      </c>
      <c r="I73" t="str">
        <f>_xlfn.IFNA(VLOOKUP(C73,merchants!$A$2:$D$41,2,FALSE),"Merchant not found")</f>
        <v>Merchant_022</v>
      </c>
      <c r="J73" t="str">
        <f>_xlfn.IFNA(VLOOKUP(C73,merchants!$A$2:$D$41,3,FALSE),"Merchant not found")</f>
        <v>travel</v>
      </c>
      <c r="K73" t="str">
        <f>_xlfn.IFNA(VLOOKUP(C73,merchants!$A$2:$D$41,4,FALSE),"Merchant not found")</f>
        <v>South</v>
      </c>
      <c r="L73">
        <f t="shared" si="3"/>
        <v>46029</v>
      </c>
      <c r="M73">
        <f t="shared" si="4"/>
        <v>0</v>
      </c>
      <c r="N73" t="str">
        <f t="shared" si="5"/>
        <v>Standard</v>
      </c>
      <c r="O73">
        <f>HLOOKUP(F73,fee_lookup!$B$1:$E$2,2,FALSE)</f>
        <v>2E-3</v>
      </c>
    </row>
    <row r="74" spans="1:15" x14ac:dyDescent="0.3">
      <c r="A74" t="s">
        <v>348</v>
      </c>
      <c r="B74" t="s">
        <v>349</v>
      </c>
      <c r="C74" t="s">
        <v>84</v>
      </c>
      <c r="D74" t="s">
        <v>350</v>
      </c>
      <c r="E74" t="s">
        <v>140</v>
      </c>
      <c r="F74" t="s">
        <v>106</v>
      </c>
      <c r="G74" t="s">
        <v>107</v>
      </c>
      <c r="H74" t="s">
        <v>4</v>
      </c>
      <c r="I74" t="str">
        <f>_xlfn.IFNA(VLOOKUP(C74,merchants!$A$2:$D$41,2,FALSE),"Merchant not found")</f>
        <v>Merchant_036</v>
      </c>
      <c r="J74" t="str">
        <f>_xlfn.IFNA(VLOOKUP(C74,merchants!$A$2:$D$41,3,FALSE),"Merchant not found")</f>
        <v>entertainment</v>
      </c>
      <c r="K74" t="str">
        <f>_xlfn.IFNA(VLOOKUP(C74,merchants!$A$2:$D$41,4,FALSE),"Merchant not found")</f>
        <v>East</v>
      </c>
      <c r="L74">
        <f t="shared" si="3"/>
        <v>46051</v>
      </c>
      <c r="M74">
        <f t="shared" si="4"/>
        <v>0</v>
      </c>
      <c r="N74" t="str">
        <f t="shared" si="5"/>
        <v>Standard</v>
      </c>
      <c r="O74">
        <f>HLOOKUP(F74,fee_lookup!$B$1:$E$2,2,FALSE)</f>
        <v>0.01</v>
      </c>
    </row>
    <row r="75" spans="1:15" x14ac:dyDescent="0.3">
      <c r="A75" t="s">
        <v>351</v>
      </c>
      <c r="B75" t="s">
        <v>352</v>
      </c>
      <c r="C75" t="s">
        <v>66</v>
      </c>
      <c r="D75" t="s">
        <v>353</v>
      </c>
      <c r="E75" t="s">
        <v>220</v>
      </c>
      <c r="F75" t="s">
        <v>106</v>
      </c>
      <c r="G75" t="s">
        <v>107</v>
      </c>
      <c r="H75" t="s">
        <v>267</v>
      </c>
      <c r="I75" t="str">
        <f>_xlfn.IFNA(VLOOKUP(C75,merchants!$A$2:$D$41,2,FALSE),"Merchant not found")</f>
        <v>Merchant_027</v>
      </c>
      <c r="J75" t="str">
        <f>_xlfn.IFNA(VLOOKUP(C75,merchants!$A$2:$D$41,3,FALSE),"Merchant not found")</f>
        <v>ecommerce</v>
      </c>
      <c r="K75" t="str">
        <f>_xlfn.IFNA(VLOOKUP(C75,merchants!$A$2:$D$41,4,FALSE),"Merchant not found")</f>
        <v>North</v>
      </c>
      <c r="L75">
        <f t="shared" si="3"/>
        <v>46039</v>
      </c>
      <c r="M75">
        <f t="shared" si="4"/>
        <v>0</v>
      </c>
      <c r="N75" t="str">
        <f t="shared" si="5"/>
        <v>Standard</v>
      </c>
      <c r="O75">
        <f>HLOOKUP(F75,fee_lookup!$B$1:$E$2,2,FALSE)</f>
        <v>0.01</v>
      </c>
    </row>
    <row r="76" spans="1:15" x14ac:dyDescent="0.3">
      <c r="A76" t="s">
        <v>354</v>
      </c>
      <c r="B76" t="s">
        <v>233</v>
      </c>
      <c r="C76" t="s">
        <v>76</v>
      </c>
      <c r="D76" t="s">
        <v>355</v>
      </c>
      <c r="E76" t="s">
        <v>227</v>
      </c>
      <c r="F76" t="s">
        <v>113</v>
      </c>
      <c r="G76" t="s">
        <v>107</v>
      </c>
      <c r="H76" t="s">
        <v>356</v>
      </c>
      <c r="I76" t="str">
        <f>_xlfn.IFNA(VLOOKUP(C76,merchants!$A$2:$D$41,2,FALSE),"Merchant not found")</f>
        <v>Merchant_032</v>
      </c>
      <c r="J76" t="str">
        <f>_xlfn.IFNA(VLOOKUP(C76,merchants!$A$2:$D$41,3,FALSE),"Merchant not found")</f>
        <v>food_delivery</v>
      </c>
      <c r="K76" t="str">
        <f>_xlfn.IFNA(VLOOKUP(C76,merchants!$A$2:$D$41,4,FALSE),"Merchant not found")</f>
        <v>West</v>
      </c>
      <c r="L76">
        <f t="shared" si="3"/>
        <v>46040</v>
      </c>
      <c r="M76">
        <f t="shared" si="4"/>
        <v>0</v>
      </c>
      <c r="N76" t="str">
        <f t="shared" si="5"/>
        <v>Standard</v>
      </c>
      <c r="O76">
        <f>HLOOKUP(F76,fee_lookup!$B$1:$E$2,2,FALSE)</f>
        <v>2E-3</v>
      </c>
    </row>
    <row r="77" spans="1:15" x14ac:dyDescent="0.3">
      <c r="A77" t="s">
        <v>357</v>
      </c>
      <c r="B77" t="s">
        <v>358</v>
      </c>
      <c r="C77" t="s">
        <v>41</v>
      </c>
      <c r="D77" t="s">
        <v>359</v>
      </c>
      <c r="E77" t="s">
        <v>274</v>
      </c>
      <c r="F77" t="s">
        <v>113</v>
      </c>
      <c r="G77" t="s">
        <v>107</v>
      </c>
      <c r="H77" t="s">
        <v>137</v>
      </c>
      <c r="I77" t="str">
        <f>_xlfn.IFNA(VLOOKUP(C77,merchants!$A$2:$D$41,2,FALSE),"Merchant not found")</f>
        <v>Merchant_015</v>
      </c>
      <c r="J77" t="str">
        <f>_xlfn.IFNA(VLOOKUP(C77,merchants!$A$2:$D$41,3,FALSE),"Merchant not found")</f>
        <v>travel</v>
      </c>
      <c r="K77" t="str">
        <f>_xlfn.IFNA(VLOOKUP(C77,merchants!$A$2:$D$41,4,FALSE),"Merchant not found")</f>
        <v>North</v>
      </c>
      <c r="L77">
        <f t="shared" si="3"/>
        <v>46048</v>
      </c>
      <c r="M77">
        <f t="shared" si="4"/>
        <v>0</v>
      </c>
      <c r="N77" t="str">
        <f t="shared" si="5"/>
        <v>Standard</v>
      </c>
      <c r="O77">
        <f>HLOOKUP(F77,fee_lookup!$B$1:$E$2,2,FALSE)</f>
        <v>2E-3</v>
      </c>
    </row>
    <row r="78" spans="1:15" x14ac:dyDescent="0.3">
      <c r="A78" t="s">
        <v>360</v>
      </c>
      <c r="B78" t="s">
        <v>361</v>
      </c>
      <c r="C78" t="s">
        <v>89</v>
      </c>
      <c r="D78" t="s">
        <v>362</v>
      </c>
      <c r="E78" t="s">
        <v>220</v>
      </c>
      <c r="F78" t="s">
        <v>154</v>
      </c>
      <c r="G78" t="s">
        <v>107</v>
      </c>
      <c r="H78" t="s">
        <v>363</v>
      </c>
      <c r="I78" t="str">
        <f>_xlfn.IFNA(VLOOKUP(C78,merchants!$A$2:$D$41,2,FALSE),"Merchant not found")</f>
        <v>Merchant_038</v>
      </c>
      <c r="J78" t="str">
        <f>_xlfn.IFNA(VLOOKUP(C78,merchants!$A$2:$D$41,3,FALSE),"Merchant not found")</f>
        <v>grocery</v>
      </c>
      <c r="K78" t="str">
        <f>_xlfn.IFNA(VLOOKUP(C78,merchants!$A$2:$D$41,4,FALSE),"Merchant not found")</f>
        <v>East</v>
      </c>
      <c r="L78">
        <f t="shared" si="3"/>
        <v>46045</v>
      </c>
      <c r="M78">
        <f t="shared" si="4"/>
        <v>0</v>
      </c>
      <c r="N78" t="str">
        <f t="shared" si="5"/>
        <v>Standard</v>
      </c>
      <c r="O78">
        <f>HLOOKUP(F78,fee_lookup!$B$1:$E$2,2,FALSE)</f>
        <v>1.7999999999999999E-2</v>
      </c>
    </row>
    <row r="79" spans="1:15" x14ac:dyDescent="0.3">
      <c r="A79" t="s">
        <v>364</v>
      </c>
      <c r="B79" t="s">
        <v>365</v>
      </c>
      <c r="C79" t="s">
        <v>68</v>
      </c>
      <c r="D79" t="s">
        <v>366</v>
      </c>
      <c r="E79" t="s">
        <v>145</v>
      </c>
      <c r="F79" t="s">
        <v>113</v>
      </c>
      <c r="G79" t="s">
        <v>107</v>
      </c>
      <c r="H79" t="s">
        <v>367</v>
      </c>
      <c r="I79" t="str">
        <f>_xlfn.IFNA(VLOOKUP(C79,merchants!$A$2:$D$41,2,FALSE),"Merchant not found")</f>
        <v>Merchant_028</v>
      </c>
      <c r="J79" t="str">
        <f>_xlfn.IFNA(VLOOKUP(C79,merchants!$A$2:$D$41,3,FALSE),"Merchant not found")</f>
        <v>ecommerce</v>
      </c>
      <c r="K79" t="str">
        <f>_xlfn.IFNA(VLOOKUP(C79,merchants!$A$2:$D$41,4,FALSE),"Merchant not found")</f>
        <v>South</v>
      </c>
      <c r="L79">
        <f t="shared" si="3"/>
        <v>46038</v>
      </c>
      <c r="M79">
        <f t="shared" si="4"/>
        <v>0</v>
      </c>
      <c r="N79" t="str">
        <f t="shared" si="5"/>
        <v>Standard</v>
      </c>
      <c r="O79">
        <f>HLOOKUP(F79,fee_lookup!$B$1:$E$2,2,FALSE)</f>
        <v>2E-3</v>
      </c>
    </row>
    <row r="80" spans="1:15" x14ac:dyDescent="0.3">
      <c r="A80" t="s">
        <v>368</v>
      </c>
      <c r="B80" t="s">
        <v>369</v>
      </c>
      <c r="C80" t="s">
        <v>48</v>
      </c>
      <c r="D80" t="s">
        <v>370</v>
      </c>
      <c r="E80" t="s">
        <v>220</v>
      </c>
      <c r="F80" t="s">
        <v>113</v>
      </c>
      <c r="G80" t="s">
        <v>107</v>
      </c>
      <c r="H80" t="s">
        <v>91</v>
      </c>
      <c r="I80" t="str">
        <f>_xlfn.IFNA(VLOOKUP(C80,merchants!$A$2:$D$41,2,FALSE),"Merchant not found")</f>
        <v>Merchant_018</v>
      </c>
      <c r="J80" t="str">
        <f>_xlfn.IFNA(VLOOKUP(C80,merchants!$A$2:$D$41,3,FALSE),"Merchant not found")</f>
        <v>grocery</v>
      </c>
      <c r="K80" t="str">
        <f>_xlfn.IFNA(VLOOKUP(C80,merchants!$A$2:$D$41,4,FALSE),"Merchant not found")</f>
        <v>West</v>
      </c>
      <c r="L80">
        <f t="shared" si="3"/>
        <v>46040</v>
      </c>
      <c r="M80">
        <f t="shared" si="4"/>
        <v>0</v>
      </c>
      <c r="N80" t="str">
        <f t="shared" si="5"/>
        <v>Standard</v>
      </c>
      <c r="O80">
        <f>HLOOKUP(F80,fee_lookup!$B$1:$E$2,2,FALSE)</f>
        <v>2E-3</v>
      </c>
    </row>
    <row r="81" spans="1:15" x14ac:dyDescent="0.3">
      <c r="A81" t="s">
        <v>371</v>
      </c>
      <c r="B81" t="s">
        <v>127</v>
      </c>
      <c r="C81" t="s">
        <v>54</v>
      </c>
      <c r="D81" t="s">
        <v>372</v>
      </c>
      <c r="E81" t="s">
        <v>220</v>
      </c>
      <c r="F81" t="s">
        <v>113</v>
      </c>
      <c r="G81" t="s">
        <v>107</v>
      </c>
      <c r="H81" t="s">
        <v>41</v>
      </c>
      <c r="I81" t="str">
        <f>_xlfn.IFNA(VLOOKUP(C81,merchants!$A$2:$D$41,2,FALSE),"Merchant not found")</f>
        <v>Merchant_021</v>
      </c>
      <c r="J81" t="str">
        <f>_xlfn.IFNA(VLOOKUP(C81,merchants!$A$2:$D$41,3,FALSE),"Merchant not found")</f>
        <v>food_delivery</v>
      </c>
      <c r="K81" t="str">
        <f>_xlfn.IFNA(VLOOKUP(C81,merchants!$A$2:$D$41,4,FALSE),"Merchant not found")</f>
        <v>East</v>
      </c>
      <c r="L81">
        <f t="shared" si="3"/>
        <v>46031</v>
      </c>
      <c r="M81">
        <f t="shared" si="4"/>
        <v>0</v>
      </c>
      <c r="N81" t="str">
        <f t="shared" si="5"/>
        <v>Standard</v>
      </c>
      <c r="O81">
        <f>HLOOKUP(F81,fee_lookup!$B$1:$E$2,2,FALSE)</f>
        <v>2E-3</v>
      </c>
    </row>
    <row r="82" spans="1:15" x14ac:dyDescent="0.3">
      <c r="A82" t="s">
        <v>373</v>
      </c>
      <c r="B82" t="s">
        <v>367</v>
      </c>
      <c r="C82" t="s">
        <v>36</v>
      </c>
      <c r="D82" t="s">
        <v>374</v>
      </c>
      <c r="E82" t="s">
        <v>105</v>
      </c>
      <c r="F82" t="s">
        <v>122</v>
      </c>
      <c r="G82" t="s">
        <v>155</v>
      </c>
      <c r="H82" t="s">
        <v>66</v>
      </c>
      <c r="I82" t="str">
        <f>_xlfn.IFNA(VLOOKUP(C82,merchants!$A$2:$D$41,2,FALSE),"Merchant not found")</f>
        <v>Merchant_013</v>
      </c>
      <c r="J82" t="str">
        <f>_xlfn.IFNA(VLOOKUP(C82,merchants!$A$2:$D$41,3,FALSE),"Merchant not found")</f>
        <v>travel</v>
      </c>
      <c r="K82" t="str">
        <f>_xlfn.IFNA(VLOOKUP(C82,merchants!$A$2:$D$41,4,FALSE),"Merchant not found")</f>
        <v>East</v>
      </c>
      <c r="L82">
        <f t="shared" si="3"/>
        <v>46046</v>
      </c>
      <c r="M82">
        <f t="shared" si="4"/>
        <v>0</v>
      </c>
      <c r="N82" t="str">
        <f t="shared" si="5"/>
        <v>Standard</v>
      </c>
      <c r="O82">
        <f>HLOOKUP(F82,fee_lookup!$B$1:$E$2,2,FALSE)</f>
        <v>1.2E-2</v>
      </c>
    </row>
    <row r="83" spans="1:15" x14ac:dyDescent="0.3">
      <c r="A83" t="s">
        <v>375</v>
      </c>
      <c r="B83" t="s">
        <v>376</v>
      </c>
      <c r="C83" t="s">
        <v>80</v>
      </c>
      <c r="D83" t="s">
        <v>377</v>
      </c>
      <c r="E83" t="s">
        <v>112</v>
      </c>
      <c r="F83" t="s">
        <v>122</v>
      </c>
      <c r="G83" t="s">
        <v>107</v>
      </c>
      <c r="H83" t="s">
        <v>228</v>
      </c>
      <c r="I83" t="str">
        <f>_xlfn.IFNA(VLOOKUP(C83,merchants!$A$2:$D$41,2,FALSE),"Merchant not found")</f>
        <v>Merchant_034</v>
      </c>
      <c r="J83" t="str">
        <f>_xlfn.IFNA(VLOOKUP(C83,merchants!$A$2:$D$41,3,FALSE),"Merchant not found")</f>
        <v>travel</v>
      </c>
      <c r="K83" t="str">
        <f>_xlfn.IFNA(VLOOKUP(C83,merchants!$A$2:$D$41,4,FALSE),"Merchant not found")</f>
        <v>South</v>
      </c>
      <c r="L83">
        <f t="shared" si="3"/>
        <v>46046</v>
      </c>
      <c r="M83">
        <f t="shared" si="4"/>
        <v>0</v>
      </c>
      <c r="N83" t="str">
        <f t="shared" si="5"/>
        <v>Standard</v>
      </c>
      <c r="O83">
        <f>HLOOKUP(F83,fee_lookup!$B$1:$E$2,2,FALSE)</f>
        <v>1.2E-2</v>
      </c>
    </row>
    <row r="84" spans="1:15" x14ac:dyDescent="0.3">
      <c r="A84" t="s">
        <v>378</v>
      </c>
      <c r="B84" t="s">
        <v>123</v>
      </c>
      <c r="C84" t="s">
        <v>50</v>
      </c>
      <c r="D84" t="s">
        <v>379</v>
      </c>
      <c r="E84" t="s">
        <v>105</v>
      </c>
      <c r="F84" t="s">
        <v>122</v>
      </c>
      <c r="G84" t="s">
        <v>107</v>
      </c>
      <c r="H84" t="s">
        <v>70</v>
      </c>
      <c r="I84" t="str">
        <f>_xlfn.IFNA(VLOOKUP(C84,merchants!$A$2:$D$41,2,FALSE),"Merchant not found")</f>
        <v>Merchant_019</v>
      </c>
      <c r="J84" t="str">
        <f>_xlfn.IFNA(VLOOKUP(C84,merchants!$A$2:$D$41,3,FALSE),"Merchant not found")</f>
        <v>grocery</v>
      </c>
      <c r="K84" t="str">
        <f>_xlfn.IFNA(VLOOKUP(C84,merchants!$A$2:$D$41,4,FALSE),"Merchant not found")</f>
        <v>North</v>
      </c>
      <c r="L84">
        <f t="shared" si="3"/>
        <v>46032</v>
      </c>
      <c r="M84">
        <f t="shared" si="4"/>
        <v>0</v>
      </c>
      <c r="N84" t="str">
        <f t="shared" si="5"/>
        <v>Standard</v>
      </c>
      <c r="O84">
        <f>HLOOKUP(F84,fee_lookup!$B$1:$E$2,2,FALSE)</f>
        <v>1.2E-2</v>
      </c>
    </row>
    <row r="85" spans="1:15" x14ac:dyDescent="0.3">
      <c r="A85" t="s">
        <v>380</v>
      </c>
      <c r="B85" t="s">
        <v>25</v>
      </c>
      <c r="C85" t="s">
        <v>82</v>
      </c>
      <c r="D85" t="s">
        <v>381</v>
      </c>
      <c r="E85" t="s">
        <v>127</v>
      </c>
      <c r="F85" t="s">
        <v>113</v>
      </c>
      <c r="G85" t="s">
        <v>107</v>
      </c>
      <c r="H85" t="s">
        <v>43</v>
      </c>
      <c r="I85" t="str">
        <f>_xlfn.IFNA(VLOOKUP(C85,merchants!$A$2:$D$41,2,FALSE),"Merchant not found")</f>
        <v>Merchant_035</v>
      </c>
      <c r="J85" t="str">
        <f>_xlfn.IFNA(VLOOKUP(C85,merchants!$A$2:$D$41,3,FALSE),"Merchant not found")</f>
        <v>recharge</v>
      </c>
      <c r="K85" t="str">
        <f>_xlfn.IFNA(VLOOKUP(C85,merchants!$A$2:$D$41,4,FALSE),"Merchant not found")</f>
        <v>East</v>
      </c>
      <c r="L85">
        <f t="shared" si="3"/>
        <v>46034</v>
      </c>
      <c r="M85">
        <f t="shared" si="4"/>
        <v>0</v>
      </c>
      <c r="N85" t="str">
        <f t="shared" si="5"/>
        <v>Standard</v>
      </c>
      <c r="O85">
        <f>HLOOKUP(F85,fee_lookup!$B$1:$E$2,2,FALSE)</f>
        <v>2E-3</v>
      </c>
    </row>
    <row r="86" spans="1:15" x14ac:dyDescent="0.3">
      <c r="A86" t="s">
        <v>382</v>
      </c>
      <c r="B86" t="s">
        <v>383</v>
      </c>
      <c r="C86" t="s">
        <v>50</v>
      </c>
      <c r="D86" t="s">
        <v>384</v>
      </c>
      <c r="E86" t="s">
        <v>127</v>
      </c>
      <c r="F86" t="s">
        <v>113</v>
      </c>
      <c r="G86" t="s">
        <v>107</v>
      </c>
      <c r="H86" t="s">
        <v>385</v>
      </c>
      <c r="I86" t="str">
        <f>_xlfn.IFNA(VLOOKUP(C86,merchants!$A$2:$D$41,2,FALSE),"Merchant not found")</f>
        <v>Merchant_019</v>
      </c>
      <c r="J86" t="str">
        <f>_xlfn.IFNA(VLOOKUP(C86,merchants!$A$2:$D$41,3,FALSE),"Merchant not found")</f>
        <v>grocery</v>
      </c>
      <c r="K86" t="str">
        <f>_xlfn.IFNA(VLOOKUP(C86,merchants!$A$2:$D$41,4,FALSE),"Merchant not found")</f>
        <v>North</v>
      </c>
      <c r="L86">
        <f t="shared" si="3"/>
        <v>46031</v>
      </c>
      <c r="M86">
        <f t="shared" si="4"/>
        <v>0</v>
      </c>
      <c r="N86" t="str">
        <f t="shared" si="5"/>
        <v>Standard</v>
      </c>
      <c r="O86">
        <f>HLOOKUP(F86,fee_lookup!$B$1:$E$2,2,FALSE)</f>
        <v>2E-3</v>
      </c>
    </row>
    <row r="87" spans="1:15" x14ac:dyDescent="0.3">
      <c r="A87" t="s">
        <v>386</v>
      </c>
      <c r="B87" t="s">
        <v>387</v>
      </c>
      <c r="C87" t="s">
        <v>23</v>
      </c>
      <c r="D87" t="s">
        <v>388</v>
      </c>
      <c r="E87" t="s">
        <v>105</v>
      </c>
      <c r="F87" t="s">
        <v>106</v>
      </c>
      <c r="G87" t="s">
        <v>107</v>
      </c>
      <c r="H87" t="s">
        <v>4</v>
      </c>
      <c r="I87" t="str">
        <f>_xlfn.IFNA(VLOOKUP(C87,merchants!$A$2:$D$41,2,FALSE),"Merchant not found")</f>
        <v>Merchant_007</v>
      </c>
      <c r="J87" t="str">
        <f>_xlfn.IFNA(VLOOKUP(C87,merchants!$A$2:$D$41,3,FALSE),"Merchant not found")</f>
        <v>food_delivery</v>
      </c>
      <c r="K87" t="str">
        <f>_xlfn.IFNA(VLOOKUP(C87,merchants!$A$2:$D$41,4,FALSE),"Merchant not found")</f>
        <v>East</v>
      </c>
      <c r="L87">
        <f t="shared" si="3"/>
        <v>46027</v>
      </c>
      <c r="M87">
        <f t="shared" si="4"/>
        <v>0</v>
      </c>
      <c r="N87" t="str">
        <f t="shared" si="5"/>
        <v>Standard</v>
      </c>
      <c r="O87">
        <f>HLOOKUP(F87,fee_lookup!$B$1:$E$2,2,FALSE)</f>
        <v>0.01</v>
      </c>
    </row>
    <row r="88" spans="1:15" x14ac:dyDescent="0.3">
      <c r="A88" t="s">
        <v>389</v>
      </c>
      <c r="B88" t="s">
        <v>390</v>
      </c>
      <c r="C88" t="s">
        <v>70</v>
      </c>
      <c r="D88" t="s">
        <v>391</v>
      </c>
      <c r="E88" t="s">
        <v>112</v>
      </c>
      <c r="F88" t="s">
        <v>106</v>
      </c>
      <c r="G88" t="s">
        <v>107</v>
      </c>
      <c r="H88" t="s">
        <v>341</v>
      </c>
      <c r="I88" t="str">
        <f>_xlfn.IFNA(VLOOKUP(C88,merchants!$A$2:$D$41,2,FALSE),"Merchant not found")</f>
        <v>Merchant_029</v>
      </c>
      <c r="J88" t="str">
        <f>_xlfn.IFNA(VLOOKUP(C88,merchants!$A$2:$D$41,3,FALSE),"Merchant not found")</f>
        <v>ecommerce</v>
      </c>
      <c r="K88" t="str">
        <f>_xlfn.IFNA(VLOOKUP(C88,merchants!$A$2:$D$41,4,FALSE),"Merchant not found")</f>
        <v>North</v>
      </c>
      <c r="L88">
        <f t="shared" si="3"/>
        <v>46041</v>
      </c>
      <c r="M88">
        <f t="shared" si="4"/>
        <v>0</v>
      </c>
      <c r="N88" t="str">
        <f t="shared" si="5"/>
        <v>Standard</v>
      </c>
      <c r="O88">
        <f>HLOOKUP(F88,fee_lookup!$B$1:$E$2,2,FALSE)</f>
        <v>0.01</v>
      </c>
    </row>
    <row r="89" spans="1:15" x14ac:dyDescent="0.3">
      <c r="A89" t="s">
        <v>392</v>
      </c>
      <c r="B89" t="s">
        <v>393</v>
      </c>
      <c r="C89" t="s">
        <v>25</v>
      </c>
      <c r="D89" t="s">
        <v>394</v>
      </c>
      <c r="E89" t="s">
        <v>112</v>
      </c>
      <c r="F89" t="s">
        <v>113</v>
      </c>
      <c r="G89" t="s">
        <v>198</v>
      </c>
      <c r="H89" t="s">
        <v>25</v>
      </c>
      <c r="I89" t="str">
        <f>_xlfn.IFNA(VLOOKUP(C89,merchants!$A$2:$D$41,2,FALSE),"Merchant not found")</f>
        <v>Merchant_008</v>
      </c>
      <c r="J89" t="str">
        <f>_xlfn.IFNA(VLOOKUP(C89,merchants!$A$2:$D$41,3,FALSE),"Merchant not found")</f>
        <v>food_delivery</v>
      </c>
      <c r="K89" t="str">
        <f>_xlfn.IFNA(VLOOKUP(C89,merchants!$A$2:$D$41,4,FALSE),"Merchant not found")</f>
        <v>North</v>
      </c>
      <c r="L89">
        <f t="shared" si="3"/>
        <v>46028</v>
      </c>
      <c r="M89">
        <f t="shared" si="4"/>
        <v>0</v>
      </c>
      <c r="N89" t="str">
        <f t="shared" si="5"/>
        <v>Standard</v>
      </c>
      <c r="O89">
        <f>HLOOKUP(F89,fee_lookup!$B$1:$E$2,2,FALSE)</f>
        <v>2E-3</v>
      </c>
    </row>
    <row r="90" spans="1:15" x14ac:dyDescent="0.3">
      <c r="A90" t="s">
        <v>395</v>
      </c>
      <c r="B90" t="s">
        <v>396</v>
      </c>
      <c r="C90" t="s">
        <v>15</v>
      </c>
      <c r="D90" t="s">
        <v>397</v>
      </c>
      <c r="E90" t="s">
        <v>140</v>
      </c>
      <c r="F90" t="s">
        <v>106</v>
      </c>
      <c r="G90" t="s">
        <v>107</v>
      </c>
      <c r="H90" t="s">
        <v>50</v>
      </c>
      <c r="I90" t="str">
        <f>_xlfn.IFNA(VLOOKUP(C90,merchants!$A$2:$D$41,2,FALSE),"Merchant not found")</f>
        <v>Merchant_004</v>
      </c>
      <c r="J90" t="str">
        <f>_xlfn.IFNA(VLOOKUP(C90,merchants!$A$2:$D$41,3,FALSE),"Merchant not found")</f>
        <v>ecommerce</v>
      </c>
      <c r="K90" t="str">
        <f>_xlfn.IFNA(VLOOKUP(C90,merchants!$A$2:$D$41,4,FALSE),"Merchant not found")</f>
        <v>East</v>
      </c>
      <c r="L90">
        <f t="shared" si="3"/>
        <v>46035</v>
      </c>
      <c r="M90">
        <f t="shared" si="4"/>
        <v>0</v>
      </c>
      <c r="N90" t="str">
        <f t="shared" si="5"/>
        <v>Standard</v>
      </c>
      <c r="O90">
        <f>HLOOKUP(F90,fee_lookup!$B$1:$E$2,2,FALSE)</f>
        <v>0.01</v>
      </c>
    </row>
    <row r="91" spans="1:15" x14ac:dyDescent="0.3">
      <c r="A91" t="s">
        <v>398</v>
      </c>
      <c r="B91" t="s">
        <v>141</v>
      </c>
      <c r="C91" t="s">
        <v>43</v>
      </c>
      <c r="D91" t="s">
        <v>399</v>
      </c>
      <c r="E91" t="s">
        <v>227</v>
      </c>
      <c r="F91" t="s">
        <v>113</v>
      </c>
      <c r="G91" t="s">
        <v>107</v>
      </c>
      <c r="H91" t="s">
        <v>41</v>
      </c>
      <c r="I91" t="str">
        <f>_xlfn.IFNA(VLOOKUP(C91,merchants!$A$2:$D$41,2,FALSE),"Merchant not found")</f>
        <v>Merchant_016</v>
      </c>
      <c r="J91" t="str">
        <f>_xlfn.IFNA(VLOOKUP(C91,merchants!$A$2:$D$41,3,FALSE),"Merchant not found")</f>
        <v>bill_payment</v>
      </c>
      <c r="K91" t="str">
        <f>_xlfn.IFNA(VLOOKUP(C91,merchants!$A$2:$D$41,4,FALSE),"Merchant not found")</f>
        <v>West</v>
      </c>
      <c r="L91">
        <f t="shared" si="3"/>
        <v>46027</v>
      </c>
      <c r="M91">
        <f t="shared" si="4"/>
        <v>0</v>
      </c>
      <c r="N91" t="str">
        <f t="shared" si="5"/>
        <v>Standard</v>
      </c>
      <c r="O91">
        <f>HLOOKUP(F91,fee_lookup!$B$1:$E$2,2,FALSE)</f>
        <v>2E-3</v>
      </c>
    </row>
    <row r="92" spans="1:15" x14ac:dyDescent="0.3">
      <c r="A92" t="s">
        <v>400</v>
      </c>
      <c r="B92" t="s">
        <v>152</v>
      </c>
      <c r="C92" t="s">
        <v>93</v>
      </c>
      <c r="D92" t="s">
        <v>401</v>
      </c>
      <c r="E92" t="s">
        <v>140</v>
      </c>
      <c r="F92" t="s">
        <v>154</v>
      </c>
      <c r="G92" t="s">
        <v>107</v>
      </c>
      <c r="H92" t="s">
        <v>68</v>
      </c>
      <c r="I92" t="str">
        <f>_xlfn.IFNA(VLOOKUP(C92,merchants!$A$2:$D$41,2,FALSE),"Merchant not found")</f>
        <v>Merchant_040</v>
      </c>
      <c r="J92" t="str">
        <f>_xlfn.IFNA(VLOOKUP(C92,merchants!$A$2:$D$41,3,FALSE),"Merchant not found")</f>
        <v>entertainment</v>
      </c>
      <c r="K92" t="str">
        <f>_xlfn.IFNA(VLOOKUP(C92,merchants!$A$2:$D$41,4,FALSE),"Merchant not found")</f>
        <v>South</v>
      </c>
      <c r="L92">
        <f t="shared" si="3"/>
        <v>46040</v>
      </c>
      <c r="M92">
        <f t="shared" si="4"/>
        <v>0</v>
      </c>
      <c r="N92" t="str">
        <f t="shared" si="5"/>
        <v>Standard</v>
      </c>
      <c r="O92">
        <f>HLOOKUP(F92,fee_lookup!$B$1:$E$2,2,FALSE)</f>
        <v>1.7999999999999999E-2</v>
      </c>
    </row>
    <row r="93" spans="1:15" x14ac:dyDescent="0.3">
      <c r="A93" t="s">
        <v>402</v>
      </c>
      <c r="B93" t="s">
        <v>337</v>
      </c>
      <c r="C93" t="s">
        <v>70</v>
      </c>
      <c r="D93" t="s">
        <v>403</v>
      </c>
      <c r="E93" t="s">
        <v>145</v>
      </c>
      <c r="F93" t="s">
        <v>113</v>
      </c>
      <c r="G93" t="s">
        <v>107</v>
      </c>
      <c r="H93" t="s">
        <v>89</v>
      </c>
      <c r="I93" t="str">
        <f>_xlfn.IFNA(VLOOKUP(C93,merchants!$A$2:$D$41,2,FALSE),"Merchant not found")</f>
        <v>Merchant_029</v>
      </c>
      <c r="J93" t="str">
        <f>_xlfn.IFNA(VLOOKUP(C93,merchants!$A$2:$D$41,3,FALSE),"Merchant not found")</f>
        <v>ecommerce</v>
      </c>
      <c r="K93" t="str">
        <f>_xlfn.IFNA(VLOOKUP(C93,merchants!$A$2:$D$41,4,FALSE),"Merchant not found")</f>
        <v>North</v>
      </c>
      <c r="L93">
        <f t="shared" si="3"/>
        <v>46047</v>
      </c>
      <c r="M93">
        <f t="shared" si="4"/>
        <v>0</v>
      </c>
      <c r="N93" t="str">
        <f t="shared" si="5"/>
        <v>Standard</v>
      </c>
      <c r="O93">
        <f>HLOOKUP(F93,fee_lookup!$B$1:$E$2,2,FALSE)</f>
        <v>2E-3</v>
      </c>
    </row>
    <row r="94" spans="1:15" x14ac:dyDescent="0.3">
      <c r="A94" t="s">
        <v>404</v>
      </c>
      <c r="B94" t="s">
        <v>405</v>
      </c>
      <c r="C94" t="s">
        <v>87</v>
      </c>
      <c r="D94" t="s">
        <v>406</v>
      </c>
      <c r="E94" t="s">
        <v>220</v>
      </c>
      <c r="F94" t="s">
        <v>106</v>
      </c>
      <c r="G94" t="s">
        <v>107</v>
      </c>
      <c r="H94" t="s">
        <v>114</v>
      </c>
      <c r="I94" t="str">
        <f>_xlfn.IFNA(VLOOKUP(C94,merchants!$A$2:$D$41,2,FALSE),"Merchant not found")</f>
        <v>Merchant_037</v>
      </c>
      <c r="J94" t="str">
        <f>_xlfn.IFNA(VLOOKUP(C94,merchants!$A$2:$D$41,3,FALSE),"Merchant not found")</f>
        <v>entertainment</v>
      </c>
      <c r="K94" t="str">
        <f>_xlfn.IFNA(VLOOKUP(C94,merchants!$A$2:$D$41,4,FALSE),"Merchant not found")</f>
        <v>South</v>
      </c>
      <c r="L94">
        <f t="shared" si="3"/>
        <v>46050</v>
      </c>
      <c r="M94">
        <f t="shared" si="4"/>
        <v>0</v>
      </c>
      <c r="N94" t="str">
        <f t="shared" si="5"/>
        <v>Standard</v>
      </c>
      <c r="O94">
        <f>HLOOKUP(F94,fee_lookup!$B$1:$E$2,2,FALSE)</f>
        <v>0.01</v>
      </c>
    </row>
    <row r="95" spans="1:15" x14ac:dyDescent="0.3">
      <c r="A95" t="s">
        <v>407</v>
      </c>
      <c r="B95" t="s">
        <v>137</v>
      </c>
      <c r="C95" t="s">
        <v>39</v>
      </c>
      <c r="D95" t="s">
        <v>408</v>
      </c>
      <c r="E95" t="s">
        <v>118</v>
      </c>
      <c r="F95" t="s">
        <v>113</v>
      </c>
      <c r="G95" t="s">
        <v>107</v>
      </c>
      <c r="H95" t="s">
        <v>409</v>
      </c>
      <c r="I95" t="str">
        <f>_xlfn.IFNA(VLOOKUP(C95,merchants!$A$2:$D$41,2,FALSE),"Merchant not found")</f>
        <v>Merchant_014</v>
      </c>
      <c r="J95" t="str">
        <f>_xlfn.IFNA(VLOOKUP(C95,merchants!$A$2:$D$41,3,FALSE),"Merchant not found")</f>
        <v>grocery</v>
      </c>
      <c r="K95" t="str">
        <f>_xlfn.IFNA(VLOOKUP(C95,merchants!$A$2:$D$41,4,FALSE),"Merchant not found")</f>
        <v>East</v>
      </c>
      <c r="L95">
        <f t="shared" si="3"/>
        <v>46024</v>
      </c>
      <c r="M95">
        <f t="shared" si="4"/>
        <v>0</v>
      </c>
      <c r="N95" t="str">
        <f t="shared" si="5"/>
        <v>Standard</v>
      </c>
      <c r="O95">
        <f>HLOOKUP(F95,fee_lookup!$B$1:$E$2,2,FALSE)</f>
        <v>2E-3</v>
      </c>
    </row>
    <row r="96" spans="1:15" x14ac:dyDescent="0.3">
      <c r="A96" t="s">
        <v>410</v>
      </c>
      <c r="B96" t="s">
        <v>146</v>
      </c>
      <c r="C96" t="s">
        <v>32</v>
      </c>
      <c r="D96" t="s">
        <v>411</v>
      </c>
      <c r="E96" t="s">
        <v>112</v>
      </c>
      <c r="F96" t="s">
        <v>106</v>
      </c>
      <c r="G96" t="s">
        <v>107</v>
      </c>
      <c r="H96" t="s">
        <v>72</v>
      </c>
      <c r="I96" t="str">
        <f>_xlfn.IFNA(VLOOKUP(C96,merchants!$A$2:$D$41,2,FALSE),"Merchant not found")</f>
        <v>Merchant_011</v>
      </c>
      <c r="J96" t="str">
        <f>_xlfn.IFNA(VLOOKUP(C96,merchants!$A$2:$D$41,3,FALSE),"Merchant not found")</f>
        <v>ecommerce</v>
      </c>
      <c r="K96" t="str">
        <f>_xlfn.IFNA(VLOOKUP(C96,merchants!$A$2:$D$41,4,FALSE),"Merchant not found")</f>
        <v>North</v>
      </c>
      <c r="L96">
        <f t="shared" si="3"/>
        <v>46029</v>
      </c>
      <c r="M96">
        <f t="shared" si="4"/>
        <v>0</v>
      </c>
      <c r="N96" t="str">
        <f t="shared" si="5"/>
        <v>Standard</v>
      </c>
      <c r="O96">
        <f>HLOOKUP(F96,fee_lookup!$B$1:$E$2,2,FALSE)</f>
        <v>0.01</v>
      </c>
    </row>
    <row r="97" spans="1:15" x14ac:dyDescent="0.3">
      <c r="A97" t="s">
        <v>412</v>
      </c>
      <c r="B97" t="s">
        <v>413</v>
      </c>
      <c r="C97" t="s">
        <v>4</v>
      </c>
      <c r="D97" t="s">
        <v>414</v>
      </c>
      <c r="E97" t="s">
        <v>227</v>
      </c>
      <c r="F97" t="s">
        <v>113</v>
      </c>
      <c r="G97" t="s">
        <v>107</v>
      </c>
      <c r="H97" t="s">
        <v>415</v>
      </c>
      <c r="I97" t="str">
        <f>_xlfn.IFNA(VLOOKUP(C97,merchants!$A$2:$D$41,2,FALSE),"Merchant not found")</f>
        <v>Merchant_001</v>
      </c>
      <c r="J97" t="str">
        <f>_xlfn.IFNA(VLOOKUP(C97,merchants!$A$2:$D$41,3,FALSE),"Merchant not found")</f>
        <v>ecommerce</v>
      </c>
      <c r="K97" t="str">
        <f>_xlfn.IFNA(VLOOKUP(C97,merchants!$A$2:$D$41,4,FALSE),"Merchant not found")</f>
        <v>South</v>
      </c>
      <c r="L97">
        <f t="shared" si="3"/>
        <v>46028</v>
      </c>
      <c r="M97">
        <f t="shared" si="4"/>
        <v>0</v>
      </c>
      <c r="N97" t="str">
        <f t="shared" si="5"/>
        <v>Standard</v>
      </c>
      <c r="O97">
        <f>HLOOKUP(F97,fee_lookup!$B$1:$E$2,2,FALSE)</f>
        <v>2E-3</v>
      </c>
    </row>
    <row r="98" spans="1:15" x14ac:dyDescent="0.3">
      <c r="A98" t="s">
        <v>416</v>
      </c>
      <c r="B98" t="s">
        <v>417</v>
      </c>
      <c r="C98" t="s">
        <v>50</v>
      </c>
      <c r="D98" t="s">
        <v>418</v>
      </c>
      <c r="E98" t="s">
        <v>145</v>
      </c>
      <c r="F98" t="s">
        <v>113</v>
      </c>
      <c r="G98" t="s">
        <v>107</v>
      </c>
      <c r="H98" t="s">
        <v>15</v>
      </c>
      <c r="I98" t="str">
        <f>_xlfn.IFNA(VLOOKUP(C98,merchants!$A$2:$D$41,2,FALSE),"Merchant not found")</f>
        <v>Merchant_019</v>
      </c>
      <c r="J98" t="str">
        <f>_xlfn.IFNA(VLOOKUP(C98,merchants!$A$2:$D$41,3,FALSE),"Merchant not found")</f>
        <v>grocery</v>
      </c>
      <c r="K98" t="str">
        <f>_xlfn.IFNA(VLOOKUP(C98,merchants!$A$2:$D$41,4,FALSE),"Merchant not found")</f>
        <v>North</v>
      </c>
      <c r="L98">
        <f t="shared" si="3"/>
        <v>46037</v>
      </c>
      <c r="M98">
        <f t="shared" si="4"/>
        <v>0</v>
      </c>
      <c r="N98" t="str">
        <f t="shared" si="5"/>
        <v>Standard</v>
      </c>
      <c r="O98">
        <f>HLOOKUP(F98,fee_lookup!$B$1:$E$2,2,FALSE)</f>
        <v>2E-3</v>
      </c>
    </row>
    <row r="99" spans="1:15" x14ac:dyDescent="0.3">
      <c r="A99" t="s">
        <v>419</v>
      </c>
      <c r="B99" t="s">
        <v>420</v>
      </c>
      <c r="C99" t="s">
        <v>72</v>
      </c>
      <c r="D99" t="s">
        <v>421</v>
      </c>
      <c r="E99" t="s">
        <v>140</v>
      </c>
      <c r="F99" t="s">
        <v>113</v>
      </c>
      <c r="G99" t="s">
        <v>107</v>
      </c>
      <c r="H99" t="s">
        <v>28</v>
      </c>
      <c r="I99" t="str">
        <f>_xlfn.IFNA(VLOOKUP(C99,merchants!$A$2:$D$41,2,FALSE),"Merchant not found")</f>
        <v>Merchant_030</v>
      </c>
      <c r="J99" t="str">
        <f>_xlfn.IFNA(VLOOKUP(C99,merchants!$A$2:$D$41,3,FALSE),"Merchant not found")</f>
        <v>travel</v>
      </c>
      <c r="K99" t="str">
        <f>_xlfn.IFNA(VLOOKUP(C99,merchants!$A$2:$D$41,4,FALSE),"Merchant not found")</f>
        <v>West</v>
      </c>
      <c r="L99">
        <f t="shared" si="3"/>
        <v>46030</v>
      </c>
      <c r="M99">
        <f t="shared" si="4"/>
        <v>0</v>
      </c>
      <c r="N99" t="str">
        <f t="shared" si="5"/>
        <v>Standard</v>
      </c>
      <c r="O99">
        <f>HLOOKUP(F99,fee_lookup!$B$1:$E$2,2,FALSE)</f>
        <v>2E-3</v>
      </c>
    </row>
    <row r="100" spans="1:15" x14ac:dyDescent="0.3">
      <c r="A100" t="s">
        <v>422</v>
      </c>
      <c r="B100" t="s">
        <v>423</v>
      </c>
      <c r="C100" t="s">
        <v>89</v>
      </c>
      <c r="D100" t="s">
        <v>424</v>
      </c>
      <c r="E100" t="s">
        <v>145</v>
      </c>
      <c r="F100" t="s">
        <v>154</v>
      </c>
      <c r="G100" t="s">
        <v>107</v>
      </c>
      <c r="H100" t="s">
        <v>425</v>
      </c>
      <c r="I100" t="str">
        <f>_xlfn.IFNA(VLOOKUP(C100,merchants!$A$2:$D$41,2,FALSE),"Merchant not found")</f>
        <v>Merchant_038</v>
      </c>
      <c r="J100" t="str">
        <f>_xlfn.IFNA(VLOOKUP(C100,merchants!$A$2:$D$41,3,FALSE),"Merchant not found")</f>
        <v>grocery</v>
      </c>
      <c r="K100" t="str">
        <f>_xlfn.IFNA(VLOOKUP(C100,merchants!$A$2:$D$41,4,FALSE),"Merchant not found")</f>
        <v>East</v>
      </c>
      <c r="L100">
        <f t="shared" si="3"/>
        <v>46044</v>
      </c>
      <c r="M100">
        <f t="shared" si="4"/>
        <v>0</v>
      </c>
      <c r="N100" t="str">
        <f t="shared" si="5"/>
        <v>Standard</v>
      </c>
      <c r="O100">
        <f>HLOOKUP(F100,fee_lookup!$B$1:$E$2,2,FALSE)</f>
        <v>1.7999999999999999E-2</v>
      </c>
    </row>
    <row r="101" spans="1:15" x14ac:dyDescent="0.3">
      <c r="A101" t="s">
        <v>426</v>
      </c>
      <c r="B101" t="s">
        <v>191</v>
      </c>
      <c r="C101" t="s">
        <v>82</v>
      </c>
      <c r="D101" t="s">
        <v>427</v>
      </c>
      <c r="E101" t="s">
        <v>220</v>
      </c>
      <c r="F101" t="s">
        <v>113</v>
      </c>
      <c r="G101" t="s">
        <v>107</v>
      </c>
      <c r="H101" t="s">
        <v>68</v>
      </c>
      <c r="I101" t="str">
        <f>_xlfn.IFNA(VLOOKUP(C101,merchants!$A$2:$D$41,2,FALSE),"Merchant not found")</f>
        <v>Merchant_035</v>
      </c>
      <c r="J101" t="str">
        <f>_xlfn.IFNA(VLOOKUP(C101,merchants!$A$2:$D$41,3,FALSE),"Merchant not found")</f>
        <v>recharge</v>
      </c>
      <c r="K101" t="str">
        <f>_xlfn.IFNA(VLOOKUP(C101,merchants!$A$2:$D$41,4,FALSE),"Merchant not found")</f>
        <v>East</v>
      </c>
      <c r="L101">
        <f t="shared" si="3"/>
        <v>46048</v>
      </c>
      <c r="M101">
        <f t="shared" si="4"/>
        <v>0</v>
      </c>
      <c r="N101" t="str">
        <f t="shared" si="5"/>
        <v>Standard</v>
      </c>
      <c r="O101">
        <f>HLOOKUP(F101,fee_lookup!$B$1:$E$2,2,FALSE)</f>
        <v>2E-3</v>
      </c>
    </row>
    <row r="102" spans="1:15" x14ac:dyDescent="0.3">
      <c r="A102" t="s">
        <v>428</v>
      </c>
      <c r="B102" t="s">
        <v>429</v>
      </c>
      <c r="C102" t="s">
        <v>30</v>
      </c>
      <c r="D102" t="s">
        <v>430</v>
      </c>
      <c r="E102" t="s">
        <v>145</v>
      </c>
      <c r="F102" t="s">
        <v>113</v>
      </c>
      <c r="G102" t="s">
        <v>107</v>
      </c>
      <c r="H102" t="s">
        <v>28</v>
      </c>
      <c r="I102" t="str">
        <f>_xlfn.IFNA(VLOOKUP(C102,merchants!$A$2:$D$41,2,FALSE),"Merchant not found")</f>
        <v>Merchant_010</v>
      </c>
      <c r="J102" t="str">
        <f>_xlfn.IFNA(VLOOKUP(C102,merchants!$A$2:$D$41,3,FALSE),"Merchant not found")</f>
        <v>grocery</v>
      </c>
      <c r="K102" t="str">
        <f>_xlfn.IFNA(VLOOKUP(C102,merchants!$A$2:$D$41,4,FALSE),"Merchant not found")</f>
        <v>West</v>
      </c>
      <c r="L102">
        <f t="shared" si="3"/>
        <v>46043</v>
      </c>
      <c r="M102">
        <f t="shared" si="4"/>
        <v>0</v>
      </c>
      <c r="N102" t="str">
        <f t="shared" si="5"/>
        <v>Standard</v>
      </c>
      <c r="O102">
        <f>HLOOKUP(F102,fee_lookup!$B$1:$E$2,2,FALSE)</f>
        <v>2E-3</v>
      </c>
    </row>
    <row r="103" spans="1:15" x14ac:dyDescent="0.3">
      <c r="A103" t="s">
        <v>431</v>
      </c>
      <c r="B103" t="s">
        <v>432</v>
      </c>
      <c r="C103" t="s">
        <v>91</v>
      </c>
      <c r="D103" t="s">
        <v>433</v>
      </c>
      <c r="E103" t="s">
        <v>220</v>
      </c>
      <c r="F103" t="s">
        <v>122</v>
      </c>
      <c r="G103" t="s">
        <v>107</v>
      </c>
      <c r="H103" t="s">
        <v>367</v>
      </c>
      <c r="I103" t="str">
        <f>_xlfn.IFNA(VLOOKUP(C103,merchants!$A$2:$D$41,2,FALSE),"Merchant not found")</f>
        <v>Merchant_039</v>
      </c>
      <c r="J103" t="str">
        <f>_xlfn.IFNA(VLOOKUP(C103,merchants!$A$2:$D$41,3,FALSE),"Merchant not found")</f>
        <v>entertainment</v>
      </c>
      <c r="K103" t="str">
        <f>_xlfn.IFNA(VLOOKUP(C103,merchants!$A$2:$D$41,4,FALSE),"Merchant not found")</f>
        <v>North</v>
      </c>
      <c r="L103">
        <f t="shared" si="3"/>
        <v>46024</v>
      </c>
      <c r="M103">
        <f t="shared" si="4"/>
        <v>0</v>
      </c>
      <c r="N103" t="str">
        <f t="shared" si="5"/>
        <v>Standard</v>
      </c>
      <c r="O103">
        <f>HLOOKUP(F103,fee_lookup!$B$1:$E$2,2,FALSE)</f>
        <v>1.2E-2</v>
      </c>
    </row>
    <row r="104" spans="1:15" x14ac:dyDescent="0.3">
      <c r="A104" t="s">
        <v>434</v>
      </c>
      <c r="B104" t="s">
        <v>435</v>
      </c>
      <c r="C104" t="s">
        <v>70</v>
      </c>
      <c r="D104" t="s">
        <v>436</v>
      </c>
      <c r="E104" t="s">
        <v>127</v>
      </c>
      <c r="F104" t="s">
        <v>154</v>
      </c>
      <c r="G104" t="s">
        <v>107</v>
      </c>
      <c r="H104" t="s">
        <v>41</v>
      </c>
      <c r="I104" t="str">
        <f>_xlfn.IFNA(VLOOKUP(C104,merchants!$A$2:$D$41,2,FALSE),"Merchant not found")</f>
        <v>Merchant_029</v>
      </c>
      <c r="J104" t="str">
        <f>_xlfn.IFNA(VLOOKUP(C104,merchants!$A$2:$D$41,3,FALSE),"Merchant not found")</f>
        <v>ecommerce</v>
      </c>
      <c r="K104" t="str">
        <f>_xlfn.IFNA(VLOOKUP(C104,merchants!$A$2:$D$41,4,FALSE),"Merchant not found")</f>
        <v>North</v>
      </c>
      <c r="L104">
        <f t="shared" si="3"/>
        <v>46049</v>
      </c>
      <c r="M104">
        <f t="shared" si="4"/>
        <v>0</v>
      </c>
      <c r="N104" t="str">
        <f t="shared" si="5"/>
        <v>Standard</v>
      </c>
      <c r="O104">
        <f>HLOOKUP(F104,fee_lookup!$B$1:$E$2,2,FALSE)</f>
        <v>1.7999999999999999E-2</v>
      </c>
    </row>
    <row r="105" spans="1:15" x14ac:dyDescent="0.3">
      <c r="A105" t="s">
        <v>437</v>
      </c>
      <c r="B105" t="s">
        <v>174</v>
      </c>
      <c r="C105" t="s">
        <v>48</v>
      </c>
      <c r="D105" t="s">
        <v>438</v>
      </c>
      <c r="E105" t="s">
        <v>227</v>
      </c>
      <c r="F105" t="s">
        <v>113</v>
      </c>
      <c r="G105" t="s">
        <v>107</v>
      </c>
      <c r="H105" t="s">
        <v>323</v>
      </c>
      <c r="I105" t="str">
        <f>_xlfn.IFNA(VLOOKUP(C105,merchants!$A$2:$D$41,2,FALSE),"Merchant not found")</f>
        <v>Merchant_018</v>
      </c>
      <c r="J105" t="str">
        <f>_xlfn.IFNA(VLOOKUP(C105,merchants!$A$2:$D$41,3,FALSE),"Merchant not found")</f>
        <v>grocery</v>
      </c>
      <c r="K105" t="str">
        <f>_xlfn.IFNA(VLOOKUP(C105,merchants!$A$2:$D$41,4,FALSE),"Merchant not found")</f>
        <v>West</v>
      </c>
      <c r="L105">
        <f t="shared" si="3"/>
        <v>46037</v>
      </c>
      <c r="M105">
        <f t="shared" si="4"/>
        <v>0</v>
      </c>
      <c r="N105" t="str">
        <f t="shared" si="5"/>
        <v>Standard</v>
      </c>
      <c r="O105">
        <f>HLOOKUP(F105,fee_lookup!$B$1:$E$2,2,FALSE)</f>
        <v>2E-3</v>
      </c>
    </row>
    <row r="106" spans="1:15" x14ac:dyDescent="0.3">
      <c r="A106" t="s">
        <v>439</v>
      </c>
      <c r="B106" t="s">
        <v>146</v>
      </c>
      <c r="C106" t="s">
        <v>91</v>
      </c>
      <c r="D106" t="s">
        <v>440</v>
      </c>
      <c r="E106" t="s">
        <v>105</v>
      </c>
      <c r="F106" t="s">
        <v>154</v>
      </c>
      <c r="G106" t="s">
        <v>107</v>
      </c>
      <c r="H106" t="s">
        <v>17</v>
      </c>
      <c r="I106" t="str">
        <f>_xlfn.IFNA(VLOOKUP(C106,merchants!$A$2:$D$41,2,FALSE),"Merchant not found")</f>
        <v>Merchant_039</v>
      </c>
      <c r="J106" t="str">
        <f>_xlfn.IFNA(VLOOKUP(C106,merchants!$A$2:$D$41,3,FALSE),"Merchant not found")</f>
        <v>entertainment</v>
      </c>
      <c r="K106" t="str">
        <f>_xlfn.IFNA(VLOOKUP(C106,merchants!$A$2:$D$41,4,FALSE),"Merchant not found")</f>
        <v>North</v>
      </c>
      <c r="L106">
        <f t="shared" si="3"/>
        <v>46040</v>
      </c>
      <c r="M106">
        <f t="shared" si="4"/>
        <v>0</v>
      </c>
      <c r="N106" t="str">
        <f t="shared" si="5"/>
        <v>Standard</v>
      </c>
      <c r="O106">
        <f>HLOOKUP(F106,fee_lookup!$B$1:$E$2,2,FALSE)</f>
        <v>1.7999999999999999E-2</v>
      </c>
    </row>
    <row r="107" spans="1:15" x14ac:dyDescent="0.3">
      <c r="A107" t="s">
        <v>441</v>
      </c>
      <c r="B107" t="s">
        <v>442</v>
      </c>
      <c r="C107" t="s">
        <v>91</v>
      </c>
      <c r="D107" t="s">
        <v>443</v>
      </c>
      <c r="E107" t="s">
        <v>227</v>
      </c>
      <c r="F107" t="s">
        <v>113</v>
      </c>
      <c r="G107" t="s">
        <v>107</v>
      </c>
      <c r="H107" t="s">
        <v>76</v>
      </c>
      <c r="I107" t="str">
        <f>_xlfn.IFNA(VLOOKUP(C107,merchants!$A$2:$D$41,2,FALSE),"Merchant not found")</f>
        <v>Merchant_039</v>
      </c>
      <c r="J107" t="str">
        <f>_xlfn.IFNA(VLOOKUP(C107,merchants!$A$2:$D$41,3,FALSE),"Merchant not found")</f>
        <v>entertainment</v>
      </c>
      <c r="K107" t="str">
        <f>_xlfn.IFNA(VLOOKUP(C107,merchants!$A$2:$D$41,4,FALSE),"Merchant not found")</f>
        <v>North</v>
      </c>
      <c r="L107">
        <f t="shared" si="3"/>
        <v>46051</v>
      </c>
      <c r="M107">
        <f t="shared" si="4"/>
        <v>0</v>
      </c>
      <c r="N107" t="str">
        <f t="shared" si="5"/>
        <v>Standard</v>
      </c>
      <c r="O107">
        <f>HLOOKUP(F107,fee_lookup!$B$1:$E$2,2,FALSE)</f>
        <v>2E-3</v>
      </c>
    </row>
    <row r="108" spans="1:15" x14ac:dyDescent="0.3">
      <c r="A108" t="s">
        <v>444</v>
      </c>
      <c r="B108" t="s">
        <v>445</v>
      </c>
      <c r="C108" t="s">
        <v>87</v>
      </c>
      <c r="D108" t="s">
        <v>446</v>
      </c>
      <c r="E108" t="s">
        <v>127</v>
      </c>
      <c r="F108" t="s">
        <v>113</v>
      </c>
      <c r="G108" t="s">
        <v>107</v>
      </c>
      <c r="H108" t="s">
        <v>313</v>
      </c>
      <c r="I108" t="str">
        <f>_xlfn.IFNA(VLOOKUP(C108,merchants!$A$2:$D$41,2,FALSE),"Merchant not found")</f>
        <v>Merchant_037</v>
      </c>
      <c r="J108" t="str">
        <f>_xlfn.IFNA(VLOOKUP(C108,merchants!$A$2:$D$41,3,FALSE),"Merchant not found")</f>
        <v>entertainment</v>
      </c>
      <c r="K108" t="str">
        <f>_xlfn.IFNA(VLOOKUP(C108,merchants!$A$2:$D$41,4,FALSE),"Merchant not found")</f>
        <v>South</v>
      </c>
      <c r="L108">
        <f t="shared" si="3"/>
        <v>46023</v>
      </c>
      <c r="M108">
        <f t="shared" si="4"/>
        <v>0</v>
      </c>
      <c r="N108" t="str">
        <f t="shared" si="5"/>
        <v>Standard</v>
      </c>
      <c r="O108">
        <f>HLOOKUP(F108,fee_lookup!$B$1:$E$2,2,FALSE)</f>
        <v>2E-3</v>
      </c>
    </row>
    <row r="109" spans="1:15" x14ac:dyDescent="0.3">
      <c r="A109" t="s">
        <v>447</v>
      </c>
      <c r="B109" t="s">
        <v>334</v>
      </c>
      <c r="C109" t="s">
        <v>87</v>
      </c>
      <c r="D109" t="s">
        <v>448</v>
      </c>
      <c r="E109" t="s">
        <v>220</v>
      </c>
      <c r="F109" t="s">
        <v>113</v>
      </c>
      <c r="G109" t="s">
        <v>107</v>
      </c>
      <c r="H109" t="s">
        <v>17</v>
      </c>
      <c r="I109" t="str">
        <f>_xlfn.IFNA(VLOOKUP(C109,merchants!$A$2:$D$41,2,FALSE),"Merchant not found")</f>
        <v>Merchant_037</v>
      </c>
      <c r="J109" t="str">
        <f>_xlfn.IFNA(VLOOKUP(C109,merchants!$A$2:$D$41,3,FALSE),"Merchant not found")</f>
        <v>entertainment</v>
      </c>
      <c r="K109" t="str">
        <f>_xlfn.IFNA(VLOOKUP(C109,merchants!$A$2:$D$41,4,FALSE),"Merchant not found")</f>
        <v>South</v>
      </c>
      <c r="L109">
        <f t="shared" si="3"/>
        <v>46023</v>
      </c>
      <c r="M109">
        <f t="shared" si="4"/>
        <v>0</v>
      </c>
      <c r="N109" t="str">
        <f t="shared" si="5"/>
        <v>Standard</v>
      </c>
      <c r="O109">
        <f>HLOOKUP(F109,fee_lookup!$B$1:$E$2,2,FALSE)</f>
        <v>2E-3</v>
      </c>
    </row>
    <row r="110" spans="1:15" x14ac:dyDescent="0.3">
      <c r="A110" t="s">
        <v>449</v>
      </c>
      <c r="B110" t="s">
        <v>218</v>
      </c>
      <c r="C110" t="s">
        <v>70</v>
      </c>
      <c r="D110" t="s">
        <v>450</v>
      </c>
      <c r="E110" t="s">
        <v>220</v>
      </c>
      <c r="F110" t="s">
        <v>106</v>
      </c>
      <c r="G110" t="s">
        <v>155</v>
      </c>
      <c r="H110" t="s">
        <v>82</v>
      </c>
      <c r="I110" t="str">
        <f>_xlfn.IFNA(VLOOKUP(C110,merchants!$A$2:$D$41,2,FALSE),"Merchant not found")</f>
        <v>Merchant_029</v>
      </c>
      <c r="J110" t="str">
        <f>_xlfn.IFNA(VLOOKUP(C110,merchants!$A$2:$D$41,3,FALSE),"Merchant not found")</f>
        <v>ecommerce</v>
      </c>
      <c r="K110" t="str">
        <f>_xlfn.IFNA(VLOOKUP(C110,merchants!$A$2:$D$41,4,FALSE),"Merchant not found")</f>
        <v>North</v>
      </c>
      <c r="L110">
        <f t="shared" si="3"/>
        <v>46047</v>
      </c>
      <c r="M110">
        <f t="shared" si="4"/>
        <v>0</v>
      </c>
      <c r="N110" t="str">
        <f t="shared" si="5"/>
        <v>Standard</v>
      </c>
      <c r="O110">
        <f>HLOOKUP(F110,fee_lookup!$B$1:$E$2,2,FALSE)</f>
        <v>0.01</v>
      </c>
    </row>
    <row r="111" spans="1:15" x14ac:dyDescent="0.3">
      <c r="A111" t="s">
        <v>451</v>
      </c>
      <c r="B111" t="s">
        <v>452</v>
      </c>
      <c r="C111" t="s">
        <v>76</v>
      </c>
      <c r="D111" t="s">
        <v>453</v>
      </c>
      <c r="E111" t="s">
        <v>227</v>
      </c>
      <c r="F111" t="s">
        <v>113</v>
      </c>
      <c r="G111" t="s">
        <v>107</v>
      </c>
      <c r="H111" t="s">
        <v>32</v>
      </c>
      <c r="I111" t="str">
        <f>_xlfn.IFNA(VLOOKUP(C111,merchants!$A$2:$D$41,2,FALSE),"Merchant not found")</f>
        <v>Merchant_032</v>
      </c>
      <c r="J111" t="str">
        <f>_xlfn.IFNA(VLOOKUP(C111,merchants!$A$2:$D$41,3,FALSE),"Merchant not found")</f>
        <v>food_delivery</v>
      </c>
      <c r="K111" t="str">
        <f>_xlfn.IFNA(VLOOKUP(C111,merchants!$A$2:$D$41,4,FALSE),"Merchant not found")</f>
        <v>West</v>
      </c>
      <c r="L111">
        <f t="shared" si="3"/>
        <v>46028</v>
      </c>
      <c r="M111">
        <f t="shared" si="4"/>
        <v>0</v>
      </c>
      <c r="N111" t="str">
        <f t="shared" si="5"/>
        <v>Standard</v>
      </c>
      <c r="O111">
        <f>HLOOKUP(F111,fee_lookup!$B$1:$E$2,2,FALSE)</f>
        <v>2E-3</v>
      </c>
    </row>
    <row r="112" spans="1:15" x14ac:dyDescent="0.3">
      <c r="A112" t="s">
        <v>454</v>
      </c>
      <c r="B112" t="s">
        <v>455</v>
      </c>
      <c r="C112" t="s">
        <v>54</v>
      </c>
      <c r="D112" t="s">
        <v>456</v>
      </c>
      <c r="E112" t="s">
        <v>140</v>
      </c>
      <c r="F112" t="s">
        <v>113</v>
      </c>
      <c r="G112" t="s">
        <v>107</v>
      </c>
      <c r="H112" t="s">
        <v>108</v>
      </c>
      <c r="I112" t="str">
        <f>_xlfn.IFNA(VLOOKUP(C112,merchants!$A$2:$D$41,2,FALSE),"Merchant not found")</f>
        <v>Merchant_021</v>
      </c>
      <c r="J112" t="str">
        <f>_xlfn.IFNA(VLOOKUP(C112,merchants!$A$2:$D$41,3,FALSE),"Merchant not found")</f>
        <v>food_delivery</v>
      </c>
      <c r="K112" t="str">
        <f>_xlfn.IFNA(VLOOKUP(C112,merchants!$A$2:$D$41,4,FALSE),"Merchant not found")</f>
        <v>East</v>
      </c>
      <c r="L112">
        <f t="shared" si="3"/>
        <v>46038</v>
      </c>
      <c r="M112">
        <f t="shared" si="4"/>
        <v>0</v>
      </c>
      <c r="N112" t="str">
        <f t="shared" si="5"/>
        <v>Standard</v>
      </c>
      <c r="O112">
        <f>HLOOKUP(F112,fee_lookup!$B$1:$E$2,2,FALSE)</f>
        <v>2E-3</v>
      </c>
    </row>
    <row r="113" spans="1:15" x14ac:dyDescent="0.3">
      <c r="A113" t="s">
        <v>457</v>
      </c>
      <c r="B113" t="s">
        <v>458</v>
      </c>
      <c r="C113" t="s">
        <v>76</v>
      </c>
      <c r="D113" t="s">
        <v>459</v>
      </c>
      <c r="E113" t="s">
        <v>112</v>
      </c>
      <c r="F113" t="s">
        <v>113</v>
      </c>
      <c r="G113" t="s">
        <v>107</v>
      </c>
      <c r="H113" t="s">
        <v>84</v>
      </c>
      <c r="I113" t="str">
        <f>_xlfn.IFNA(VLOOKUP(C113,merchants!$A$2:$D$41,2,FALSE),"Merchant not found")</f>
        <v>Merchant_032</v>
      </c>
      <c r="J113" t="str">
        <f>_xlfn.IFNA(VLOOKUP(C113,merchants!$A$2:$D$41,3,FALSE),"Merchant not found")</f>
        <v>food_delivery</v>
      </c>
      <c r="K113" t="str">
        <f>_xlfn.IFNA(VLOOKUP(C113,merchants!$A$2:$D$41,4,FALSE),"Merchant not found")</f>
        <v>West</v>
      </c>
      <c r="L113">
        <f t="shared" si="3"/>
        <v>46026</v>
      </c>
      <c r="M113">
        <f t="shared" si="4"/>
        <v>0</v>
      </c>
      <c r="N113" t="str">
        <f t="shared" si="5"/>
        <v>Standard</v>
      </c>
      <c r="O113">
        <f>HLOOKUP(F113,fee_lookup!$B$1:$E$2,2,FALSE)</f>
        <v>2E-3</v>
      </c>
    </row>
    <row r="114" spans="1:15" x14ac:dyDescent="0.3">
      <c r="A114" t="s">
        <v>460</v>
      </c>
      <c r="B114" t="s">
        <v>461</v>
      </c>
      <c r="C114" t="s">
        <v>12</v>
      </c>
      <c r="D114" t="s">
        <v>462</v>
      </c>
      <c r="E114" t="s">
        <v>220</v>
      </c>
      <c r="F114" t="s">
        <v>113</v>
      </c>
      <c r="G114" t="s">
        <v>107</v>
      </c>
      <c r="H114" t="s">
        <v>463</v>
      </c>
      <c r="I114" t="str">
        <f>_xlfn.IFNA(VLOOKUP(C114,merchants!$A$2:$D$41,2,FALSE),"Merchant not found")</f>
        <v>Merchant_003</v>
      </c>
      <c r="J114" t="str">
        <f>_xlfn.IFNA(VLOOKUP(C114,merchants!$A$2:$D$41,3,FALSE),"Merchant not found")</f>
        <v>grocery</v>
      </c>
      <c r="K114" t="str">
        <f>_xlfn.IFNA(VLOOKUP(C114,merchants!$A$2:$D$41,4,FALSE),"Merchant not found")</f>
        <v>East</v>
      </c>
      <c r="L114">
        <f t="shared" si="3"/>
        <v>46044</v>
      </c>
      <c r="M114">
        <f t="shared" si="4"/>
        <v>0</v>
      </c>
      <c r="N114" t="str">
        <f t="shared" si="5"/>
        <v>Standard</v>
      </c>
      <c r="O114">
        <f>HLOOKUP(F114,fee_lookup!$B$1:$E$2,2,FALSE)</f>
        <v>2E-3</v>
      </c>
    </row>
    <row r="115" spans="1:15" x14ac:dyDescent="0.3">
      <c r="A115" t="s">
        <v>464</v>
      </c>
      <c r="B115" t="s">
        <v>442</v>
      </c>
      <c r="C115" t="s">
        <v>25</v>
      </c>
      <c r="D115" t="s">
        <v>465</v>
      </c>
      <c r="E115" t="s">
        <v>145</v>
      </c>
      <c r="F115" t="s">
        <v>113</v>
      </c>
      <c r="G115" t="s">
        <v>107</v>
      </c>
      <c r="H115" t="s">
        <v>238</v>
      </c>
      <c r="I115" t="str">
        <f>_xlfn.IFNA(VLOOKUP(C115,merchants!$A$2:$D$41,2,FALSE),"Merchant not found")</f>
        <v>Merchant_008</v>
      </c>
      <c r="J115" t="str">
        <f>_xlfn.IFNA(VLOOKUP(C115,merchants!$A$2:$D$41,3,FALSE),"Merchant not found")</f>
        <v>food_delivery</v>
      </c>
      <c r="K115" t="str">
        <f>_xlfn.IFNA(VLOOKUP(C115,merchants!$A$2:$D$41,4,FALSE),"Merchant not found")</f>
        <v>North</v>
      </c>
      <c r="L115">
        <f t="shared" si="3"/>
        <v>46025</v>
      </c>
      <c r="M115">
        <f t="shared" si="4"/>
        <v>0</v>
      </c>
      <c r="N115" t="str">
        <f t="shared" si="5"/>
        <v>Standard</v>
      </c>
      <c r="O115">
        <f>HLOOKUP(F115,fee_lookup!$B$1:$E$2,2,FALSE)</f>
        <v>2E-3</v>
      </c>
    </row>
    <row r="116" spans="1:15" x14ac:dyDescent="0.3">
      <c r="A116" t="s">
        <v>466</v>
      </c>
      <c r="B116" t="s">
        <v>4</v>
      </c>
      <c r="C116" t="s">
        <v>82</v>
      </c>
      <c r="D116" t="s">
        <v>467</v>
      </c>
      <c r="E116" t="s">
        <v>227</v>
      </c>
      <c r="F116" t="s">
        <v>113</v>
      </c>
      <c r="G116" t="s">
        <v>107</v>
      </c>
      <c r="H116" t="s">
        <v>191</v>
      </c>
      <c r="I116" t="str">
        <f>_xlfn.IFNA(VLOOKUP(C116,merchants!$A$2:$D$41,2,FALSE),"Merchant not found")</f>
        <v>Merchant_035</v>
      </c>
      <c r="J116" t="str">
        <f>_xlfn.IFNA(VLOOKUP(C116,merchants!$A$2:$D$41,3,FALSE),"Merchant not found")</f>
        <v>recharge</v>
      </c>
      <c r="K116" t="str">
        <f>_xlfn.IFNA(VLOOKUP(C116,merchants!$A$2:$D$41,4,FALSE),"Merchant not found")</f>
        <v>East</v>
      </c>
      <c r="L116">
        <f t="shared" si="3"/>
        <v>46035</v>
      </c>
      <c r="M116">
        <f t="shared" si="4"/>
        <v>0</v>
      </c>
      <c r="N116" t="str">
        <f t="shared" si="5"/>
        <v>Standard</v>
      </c>
      <c r="O116">
        <f>HLOOKUP(F116,fee_lookup!$B$1:$E$2,2,FALSE)</f>
        <v>2E-3</v>
      </c>
    </row>
    <row r="117" spans="1:15" x14ac:dyDescent="0.3">
      <c r="A117" t="s">
        <v>468</v>
      </c>
      <c r="B117" t="s">
        <v>218</v>
      </c>
      <c r="C117" t="s">
        <v>60</v>
      </c>
      <c r="D117" t="s">
        <v>469</v>
      </c>
      <c r="E117" t="s">
        <v>220</v>
      </c>
      <c r="F117" t="s">
        <v>113</v>
      </c>
      <c r="G117" t="s">
        <v>107</v>
      </c>
      <c r="H117" t="s">
        <v>114</v>
      </c>
      <c r="I117" t="str">
        <f>_xlfn.IFNA(VLOOKUP(C117,merchants!$A$2:$D$41,2,FALSE),"Merchant not found")</f>
        <v>Merchant_024</v>
      </c>
      <c r="J117" t="str">
        <f>_xlfn.IFNA(VLOOKUP(C117,merchants!$A$2:$D$41,3,FALSE),"Merchant not found")</f>
        <v>grocery</v>
      </c>
      <c r="K117" t="str">
        <f>_xlfn.IFNA(VLOOKUP(C117,merchants!$A$2:$D$41,4,FALSE),"Merchant not found")</f>
        <v>North</v>
      </c>
      <c r="L117">
        <f t="shared" si="3"/>
        <v>46036</v>
      </c>
      <c r="M117">
        <f t="shared" si="4"/>
        <v>0</v>
      </c>
      <c r="N117" t="str">
        <f t="shared" si="5"/>
        <v>Standard</v>
      </c>
      <c r="O117">
        <f>HLOOKUP(F117,fee_lookup!$B$1:$E$2,2,FALSE)</f>
        <v>2E-3</v>
      </c>
    </row>
    <row r="118" spans="1:15" x14ac:dyDescent="0.3">
      <c r="A118" t="s">
        <v>470</v>
      </c>
      <c r="B118" t="s">
        <v>471</v>
      </c>
      <c r="C118" t="s">
        <v>15</v>
      </c>
      <c r="D118" t="s">
        <v>472</v>
      </c>
      <c r="E118" t="s">
        <v>220</v>
      </c>
      <c r="F118" t="s">
        <v>113</v>
      </c>
      <c r="G118" t="s">
        <v>107</v>
      </c>
      <c r="H118" t="s">
        <v>64</v>
      </c>
      <c r="I118" t="str">
        <f>_xlfn.IFNA(VLOOKUP(C118,merchants!$A$2:$D$41,2,FALSE),"Merchant not found")</f>
        <v>Merchant_004</v>
      </c>
      <c r="J118" t="str">
        <f>_xlfn.IFNA(VLOOKUP(C118,merchants!$A$2:$D$41,3,FALSE),"Merchant not found")</f>
        <v>ecommerce</v>
      </c>
      <c r="K118" t="str">
        <f>_xlfn.IFNA(VLOOKUP(C118,merchants!$A$2:$D$41,4,FALSE),"Merchant not found")</f>
        <v>East</v>
      </c>
      <c r="L118">
        <f t="shared" si="3"/>
        <v>46047</v>
      </c>
      <c r="M118">
        <f t="shared" si="4"/>
        <v>0</v>
      </c>
      <c r="N118" t="str">
        <f t="shared" si="5"/>
        <v>Standard</v>
      </c>
      <c r="O118">
        <f>HLOOKUP(F118,fee_lookup!$B$1:$E$2,2,FALSE)</f>
        <v>2E-3</v>
      </c>
    </row>
    <row r="119" spans="1:15" x14ac:dyDescent="0.3">
      <c r="A119" t="s">
        <v>473</v>
      </c>
      <c r="B119" t="s">
        <v>435</v>
      </c>
      <c r="C119" t="s">
        <v>70</v>
      </c>
      <c r="D119" t="s">
        <v>474</v>
      </c>
      <c r="E119" t="s">
        <v>220</v>
      </c>
      <c r="F119" t="s">
        <v>113</v>
      </c>
      <c r="G119" t="s">
        <v>107</v>
      </c>
      <c r="H119" t="s">
        <v>385</v>
      </c>
      <c r="I119" t="str">
        <f>_xlfn.IFNA(VLOOKUP(C119,merchants!$A$2:$D$41,2,FALSE),"Merchant not found")</f>
        <v>Merchant_029</v>
      </c>
      <c r="J119" t="str">
        <f>_xlfn.IFNA(VLOOKUP(C119,merchants!$A$2:$D$41,3,FALSE),"Merchant not found")</f>
        <v>ecommerce</v>
      </c>
      <c r="K119" t="str">
        <f>_xlfn.IFNA(VLOOKUP(C119,merchants!$A$2:$D$41,4,FALSE),"Merchant not found")</f>
        <v>North</v>
      </c>
      <c r="L119">
        <f t="shared" si="3"/>
        <v>46031</v>
      </c>
      <c r="M119">
        <f t="shared" si="4"/>
        <v>0</v>
      </c>
      <c r="N119" t="str">
        <f t="shared" si="5"/>
        <v>Standard</v>
      </c>
      <c r="O119">
        <f>HLOOKUP(F119,fee_lookup!$B$1:$E$2,2,FALSE)</f>
        <v>2E-3</v>
      </c>
    </row>
    <row r="120" spans="1:15" x14ac:dyDescent="0.3">
      <c r="A120" t="s">
        <v>475</v>
      </c>
      <c r="B120" t="s">
        <v>476</v>
      </c>
      <c r="C120" t="s">
        <v>91</v>
      </c>
      <c r="D120" t="s">
        <v>477</v>
      </c>
      <c r="E120" t="s">
        <v>220</v>
      </c>
      <c r="F120" t="s">
        <v>113</v>
      </c>
      <c r="G120" t="s">
        <v>107</v>
      </c>
      <c r="H120" t="s">
        <v>72</v>
      </c>
      <c r="I120" t="str">
        <f>_xlfn.IFNA(VLOOKUP(C120,merchants!$A$2:$D$41,2,FALSE),"Merchant not found")</f>
        <v>Merchant_039</v>
      </c>
      <c r="J120" t="str">
        <f>_xlfn.IFNA(VLOOKUP(C120,merchants!$A$2:$D$41,3,FALSE),"Merchant not found")</f>
        <v>entertainment</v>
      </c>
      <c r="K120" t="str">
        <f>_xlfn.IFNA(VLOOKUP(C120,merchants!$A$2:$D$41,4,FALSE),"Merchant not found")</f>
        <v>North</v>
      </c>
      <c r="L120">
        <f t="shared" si="3"/>
        <v>46038</v>
      </c>
      <c r="M120">
        <f t="shared" si="4"/>
        <v>0</v>
      </c>
      <c r="N120" t="str">
        <f t="shared" si="5"/>
        <v>Standard</v>
      </c>
      <c r="O120">
        <f>HLOOKUP(F120,fee_lookup!$B$1:$E$2,2,FALSE)</f>
        <v>2E-3</v>
      </c>
    </row>
    <row r="121" spans="1:15" x14ac:dyDescent="0.3">
      <c r="A121" t="s">
        <v>478</v>
      </c>
      <c r="B121" t="s">
        <v>479</v>
      </c>
      <c r="C121" t="s">
        <v>4</v>
      </c>
      <c r="D121" t="s">
        <v>480</v>
      </c>
      <c r="E121" t="s">
        <v>105</v>
      </c>
      <c r="F121" t="s">
        <v>106</v>
      </c>
      <c r="G121" t="s">
        <v>107</v>
      </c>
      <c r="H121" t="s">
        <v>176</v>
      </c>
      <c r="I121" t="str">
        <f>_xlfn.IFNA(VLOOKUP(C121,merchants!$A$2:$D$41,2,FALSE),"Merchant not found")</f>
        <v>Merchant_001</v>
      </c>
      <c r="J121" t="str">
        <f>_xlfn.IFNA(VLOOKUP(C121,merchants!$A$2:$D$41,3,FALSE),"Merchant not found")</f>
        <v>ecommerce</v>
      </c>
      <c r="K121" t="str">
        <f>_xlfn.IFNA(VLOOKUP(C121,merchants!$A$2:$D$41,4,FALSE),"Merchant not found")</f>
        <v>South</v>
      </c>
      <c r="L121">
        <f t="shared" si="3"/>
        <v>46045</v>
      </c>
      <c r="M121">
        <f t="shared" si="4"/>
        <v>0</v>
      </c>
      <c r="N121" t="str">
        <f t="shared" si="5"/>
        <v>Standard</v>
      </c>
      <c r="O121">
        <f>HLOOKUP(F121,fee_lookup!$B$1:$E$2,2,FALSE)</f>
        <v>0.01</v>
      </c>
    </row>
    <row r="122" spans="1:15" x14ac:dyDescent="0.3">
      <c r="A122" t="s">
        <v>481</v>
      </c>
      <c r="B122" t="s">
        <v>191</v>
      </c>
      <c r="C122" t="s">
        <v>72</v>
      </c>
      <c r="D122" t="s">
        <v>482</v>
      </c>
      <c r="E122" t="s">
        <v>220</v>
      </c>
      <c r="F122" t="s">
        <v>113</v>
      </c>
      <c r="G122" t="s">
        <v>107</v>
      </c>
      <c r="H122" t="s">
        <v>41</v>
      </c>
      <c r="I122" t="str">
        <f>_xlfn.IFNA(VLOOKUP(C122,merchants!$A$2:$D$41,2,FALSE),"Merchant not found")</f>
        <v>Merchant_030</v>
      </c>
      <c r="J122" t="str">
        <f>_xlfn.IFNA(VLOOKUP(C122,merchants!$A$2:$D$41,3,FALSE),"Merchant not found")</f>
        <v>travel</v>
      </c>
      <c r="K122" t="str">
        <f>_xlfn.IFNA(VLOOKUP(C122,merchants!$A$2:$D$41,4,FALSE),"Merchant not found")</f>
        <v>West</v>
      </c>
      <c r="L122">
        <f t="shared" si="3"/>
        <v>46036</v>
      </c>
      <c r="M122">
        <f t="shared" si="4"/>
        <v>0</v>
      </c>
      <c r="N122" t="str">
        <f t="shared" si="5"/>
        <v>Standard</v>
      </c>
      <c r="O122">
        <f>HLOOKUP(F122,fee_lookup!$B$1:$E$2,2,FALSE)</f>
        <v>2E-3</v>
      </c>
    </row>
    <row r="123" spans="1:15" x14ac:dyDescent="0.3">
      <c r="A123" t="s">
        <v>483</v>
      </c>
      <c r="B123" t="s">
        <v>484</v>
      </c>
      <c r="C123" t="s">
        <v>78</v>
      </c>
      <c r="D123" t="s">
        <v>485</v>
      </c>
      <c r="E123" t="s">
        <v>105</v>
      </c>
      <c r="F123" t="s">
        <v>113</v>
      </c>
      <c r="G123" t="s">
        <v>107</v>
      </c>
      <c r="H123" t="s">
        <v>162</v>
      </c>
      <c r="I123" t="str">
        <f>_xlfn.IFNA(VLOOKUP(C123,merchants!$A$2:$D$41,2,FALSE),"Merchant not found")</f>
        <v>Merchant_033</v>
      </c>
      <c r="J123" t="str">
        <f>_xlfn.IFNA(VLOOKUP(C123,merchants!$A$2:$D$41,3,FALSE),"Merchant not found")</f>
        <v>bill_payment</v>
      </c>
      <c r="K123" t="str">
        <f>_xlfn.IFNA(VLOOKUP(C123,merchants!$A$2:$D$41,4,FALSE),"Merchant not found")</f>
        <v>East</v>
      </c>
      <c r="L123">
        <f t="shared" si="3"/>
        <v>46043</v>
      </c>
      <c r="M123">
        <f t="shared" si="4"/>
        <v>0</v>
      </c>
      <c r="N123" t="str">
        <f t="shared" si="5"/>
        <v>Standard</v>
      </c>
      <c r="O123">
        <f>HLOOKUP(F123,fee_lookup!$B$1:$E$2,2,FALSE)</f>
        <v>2E-3</v>
      </c>
    </row>
    <row r="124" spans="1:15" x14ac:dyDescent="0.3">
      <c r="A124" t="s">
        <v>486</v>
      </c>
      <c r="B124" t="s">
        <v>331</v>
      </c>
      <c r="C124" t="s">
        <v>74</v>
      </c>
      <c r="D124" t="s">
        <v>487</v>
      </c>
      <c r="E124" t="s">
        <v>118</v>
      </c>
      <c r="F124" t="s">
        <v>113</v>
      </c>
      <c r="G124" t="s">
        <v>155</v>
      </c>
      <c r="H124" t="s">
        <v>74</v>
      </c>
      <c r="I124" t="str">
        <f>_xlfn.IFNA(VLOOKUP(C124,merchants!$A$2:$D$41,2,FALSE),"Merchant not found")</f>
        <v>Merchant_031</v>
      </c>
      <c r="J124" t="str">
        <f>_xlfn.IFNA(VLOOKUP(C124,merchants!$A$2:$D$41,3,FALSE),"Merchant not found")</f>
        <v>bill_payment</v>
      </c>
      <c r="K124" t="str">
        <f>_xlfn.IFNA(VLOOKUP(C124,merchants!$A$2:$D$41,4,FALSE),"Merchant not found")</f>
        <v>East</v>
      </c>
      <c r="L124">
        <f t="shared" si="3"/>
        <v>46031</v>
      </c>
      <c r="M124">
        <f t="shared" si="4"/>
        <v>0</v>
      </c>
      <c r="N124" t="str">
        <f t="shared" si="5"/>
        <v>Standard</v>
      </c>
      <c r="O124">
        <f>HLOOKUP(F124,fee_lookup!$B$1:$E$2,2,FALSE)</f>
        <v>2E-3</v>
      </c>
    </row>
    <row r="125" spans="1:15" x14ac:dyDescent="0.3">
      <c r="A125" t="s">
        <v>488</v>
      </c>
      <c r="B125" t="s">
        <v>489</v>
      </c>
      <c r="C125" t="s">
        <v>36</v>
      </c>
      <c r="D125" t="s">
        <v>490</v>
      </c>
      <c r="E125" t="s">
        <v>112</v>
      </c>
      <c r="F125" t="s">
        <v>113</v>
      </c>
      <c r="G125" t="s">
        <v>107</v>
      </c>
      <c r="H125" t="s">
        <v>228</v>
      </c>
      <c r="I125" t="str">
        <f>_xlfn.IFNA(VLOOKUP(C125,merchants!$A$2:$D$41,2,FALSE),"Merchant not found")</f>
        <v>Merchant_013</v>
      </c>
      <c r="J125" t="str">
        <f>_xlfn.IFNA(VLOOKUP(C125,merchants!$A$2:$D$41,3,FALSE),"Merchant not found")</f>
        <v>travel</v>
      </c>
      <c r="K125" t="str">
        <f>_xlfn.IFNA(VLOOKUP(C125,merchants!$A$2:$D$41,4,FALSE),"Merchant not found")</f>
        <v>East</v>
      </c>
      <c r="L125">
        <f t="shared" si="3"/>
        <v>46037</v>
      </c>
      <c r="M125">
        <f t="shared" si="4"/>
        <v>0</v>
      </c>
      <c r="N125" t="str">
        <f t="shared" si="5"/>
        <v>Standard</v>
      </c>
      <c r="O125">
        <f>HLOOKUP(F125,fee_lookup!$B$1:$E$2,2,FALSE)</f>
        <v>2E-3</v>
      </c>
    </row>
    <row r="126" spans="1:15" x14ac:dyDescent="0.3">
      <c r="A126" t="s">
        <v>491</v>
      </c>
      <c r="B126" t="s">
        <v>176</v>
      </c>
      <c r="C126" t="s">
        <v>17</v>
      </c>
      <c r="D126" t="s">
        <v>492</v>
      </c>
      <c r="E126" t="s">
        <v>220</v>
      </c>
      <c r="F126" t="s">
        <v>113</v>
      </c>
      <c r="G126" t="s">
        <v>107</v>
      </c>
      <c r="H126" t="s">
        <v>82</v>
      </c>
      <c r="I126" t="str">
        <f>_xlfn.IFNA(VLOOKUP(C126,merchants!$A$2:$D$41,2,FALSE),"Merchant not found")</f>
        <v>Merchant_005</v>
      </c>
      <c r="J126" t="str">
        <f>_xlfn.IFNA(VLOOKUP(C126,merchants!$A$2:$D$41,3,FALSE),"Merchant not found")</f>
        <v>recharge</v>
      </c>
      <c r="K126" t="str">
        <f>_xlfn.IFNA(VLOOKUP(C126,merchants!$A$2:$D$41,4,FALSE),"Merchant not found")</f>
        <v>South</v>
      </c>
      <c r="L126">
        <f t="shared" si="3"/>
        <v>46039</v>
      </c>
      <c r="M126">
        <f t="shared" si="4"/>
        <v>0</v>
      </c>
      <c r="N126" t="str">
        <f t="shared" si="5"/>
        <v>Standard</v>
      </c>
      <c r="O126">
        <f>HLOOKUP(F126,fee_lookup!$B$1:$E$2,2,FALSE)</f>
        <v>2E-3</v>
      </c>
    </row>
    <row r="127" spans="1:15" x14ac:dyDescent="0.3">
      <c r="A127" t="s">
        <v>493</v>
      </c>
      <c r="B127" t="s">
        <v>494</v>
      </c>
      <c r="C127" t="s">
        <v>48</v>
      </c>
      <c r="D127" t="s">
        <v>495</v>
      </c>
      <c r="E127" t="s">
        <v>118</v>
      </c>
      <c r="F127" t="s">
        <v>113</v>
      </c>
      <c r="G127" t="s">
        <v>107</v>
      </c>
      <c r="H127" t="s">
        <v>496</v>
      </c>
      <c r="I127" t="str">
        <f>_xlfn.IFNA(VLOOKUP(C127,merchants!$A$2:$D$41,2,FALSE),"Merchant not found")</f>
        <v>Merchant_018</v>
      </c>
      <c r="J127" t="str">
        <f>_xlfn.IFNA(VLOOKUP(C127,merchants!$A$2:$D$41,3,FALSE),"Merchant not found")</f>
        <v>grocery</v>
      </c>
      <c r="K127" t="str">
        <f>_xlfn.IFNA(VLOOKUP(C127,merchants!$A$2:$D$41,4,FALSE),"Merchant not found")</f>
        <v>West</v>
      </c>
      <c r="L127">
        <f t="shared" si="3"/>
        <v>46047</v>
      </c>
      <c r="M127">
        <f t="shared" si="4"/>
        <v>0</v>
      </c>
      <c r="N127" t="str">
        <f t="shared" si="5"/>
        <v>Standard</v>
      </c>
      <c r="O127">
        <f>HLOOKUP(F127,fee_lookup!$B$1:$E$2,2,FALSE)</f>
        <v>2E-3</v>
      </c>
    </row>
    <row r="128" spans="1:15" x14ac:dyDescent="0.3">
      <c r="A128" t="s">
        <v>497</v>
      </c>
      <c r="B128" t="s">
        <v>498</v>
      </c>
      <c r="C128" t="s">
        <v>89</v>
      </c>
      <c r="D128" t="s">
        <v>499</v>
      </c>
      <c r="E128" t="s">
        <v>127</v>
      </c>
      <c r="F128" t="s">
        <v>113</v>
      </c>
      <c r="G128" t="s">
        <v>107</v>
      </c>
      <c r="H128" t="s">
        <v>425</v>
      </c>
      <c r="I128" t="str">
        <f>_xlfn.IFNA(VLOOKUP(C128,merchants!$A$2:$D$41,2,FALSE),"Merchant not found")</f>
        <v>Merchant_038</v>
      </c>
      <c r="J128" t="str">
        <f>_xlfn.IFNA(VLOOKUP(C128,merchants!$A$2:$D$41,3,FALSE),"Merchant not found")</f>
        <v>grocery</v>
      </c>
      <c r="K128" t="str">
        <f>_xlfn.IFNA(VLOOKUP(C128,merchants!$A$2:$D$41,4,FALSE),"Merchant not found")</f>
        <v>East</v>
      </c>
      <c r="L128">
        <f t="shared" si="3"/>
        <v>46032</v>
      </c>
      <c r="M128">
        <f t="shared" si="4"/>
        <v>0</v>
      </c>
      <c r="N128" t="str">
        <f t="shared" si="5"/>
        <v>Standard</v>
      </c>
      <c r="O128">
        <f>HLOOKUP(F128,fee_lookup!$B$1:$E$2,2,FALSE)</f>
        <v>2E-3</v>
      </c>
    </row>
    <row r="129" spans="1:15" x14ac:dyDescent="0.3">
      <c r="A129" t="s">
        <v>500</v>
      </c>
      <c r="B129" t="s">
        <v>164</v>
      </c>
      <c r="C129" t="s">
        <v>74</v>
      </c>
      <c r="D129" t="s">
        <v>501</v>
      </c>
      <c r="E129" t="s">
        <v>220</v>
      </c>
      <c r="F129" t="s">
        <v>154</v>
      </c>
      <c r="G129" t="s">
        <v>107</v>
      </c>
      <c r="H129" t="s">
        <v>141</v>
      </c>
      <c r="I129" t="str">
        <f>_xlfn.IFNA(VLOOKUP(C129,merchants!$A$2:$D$41,2,FALSE),"Merchant not found")</f>
        <v>Merchant_031</v>
      </c>
      <c r="J129" t="str">
        <f>_xlfn.IFNA(VLOOKUP(C129,merchants!$A$2:$D$41,3,FALSE),"Merchant not found")</f>
        <v>bill_payment</v>
      </c>
      <c r="K129" t="str">
        <f>_xlfn.IFNA(VLOOKUP(C129,merchants!$A$2:$D$41,4,FALSE),"Merchant not found")</f>
        <v>East</v>
      </c>
      <c r="L129">
        <f t="shared" si="3"/>
        <v>46038</v>
      </c>
      <c r="M129">
        <f t="shared" si="4"/>
        <v>0</v>
      </c>
      <c r="N129" t="str">
        <f t="shared" si="5"/>
        <v>Standard</v>
      </c>
      <c r="O129">
        <f>HLOOKUP(F129,fee_lookup!$B$1:$E$2,2,FALSE)</f>
        <v>1.7999999999999999E-2</v>
      </c>
    </row>
    <row r="130" spans="1:15" x14ac:dyDescent="0.3">
      <c r="A130" t="s">
        <v>502</v>
      </c>
      <c r="B130" t="s">
        <v>503</v>
      </c>
      <c r="C130" t="s">
        <v>62</v>
      </c>
      <c r="D130" t="s">
        <v>504</v>
      </c>
      <c r="E130" t="s">
        <v>140</v>
      </c>
      <c r="F130" t="s">
        <v>113</v>
      </c>
      <c r="G130" t="s">
        <v>107</v>
      </c>
      <c r="H130" t="s">
        <v>463</v>
      </c>
      <c r="I130" t="str">
        <f>_xlfn.IFNA(VLOOKUP(C130,merchants!$A$2:$D$41,2,FALSE),"Merchant not found")</f>
        <v>Merchant_025</v>
      </c>
      <c r="J130" t="str">
        <f>_xlfn.IFNA(VLOOKUP(C130,merchants!$A$2:$D$41,3,FALSE),"Merchant not found")</f>
        <v>travel</v>
      </c>
      <c r="K130" t="str">
        <f>_xlfn.IFNA(VLOOKUP(C130,merchants!$A$2:$D$41,4,FALSE),"Merchant not found")</f>
        <v>South</v>
      </c>
      <c r="L130">
        <f t="shared" ref="L130:L193" si="6">DATE(LEFT(D130,4),MID(D130,6,2),MID(D130,9,2))</f>
        <v>46033</v>
      </c>
      <c r="M130">
        <f t="shared" ref="M130:M193" si="7">SUMIFS($E:$E,$C:$C,C130,$L:$L,L130)</f>
        <v>0</v>
      </c>
      <c r="N130" t="str">
        <f t="shared" ref="N130:N193" si="8">IF(AND(M130&gt;5000,K130&lt;&gt;"East"),"High-Value Merchant Day","Standard")</f>
        <v>Standard</v>
      </c>
      <c r="O130">
        <f>HLOOKUP(F130,fee_lookup!$B$1:$E$2,2,FALSE)</f>
        <v>2E-3</v>
      </c>
    </row>
    <row r="131" spans="1:15" x14ac:dyDescent="0.3">
      <c r="A131" t="s">
        <v>505</v>
      </c>
      <c r="B131" t="s">
        <v>506</v>
      </c>
      <c r="C131" t="s">
        <v>43</v>
      </c>
      <c r="D131" t="s">
        <v>507</v>
      </c>
      <c r="E131" t="s">
        <v>140</v>
      </c>
      <c r="F131" t="s">
        <v>154</v>
      </c>
      <c r="G131" t="s">
        <v>107</v>
      </c>
      <c r="H131" t="s">
        <v>508</v>
      </c>
      <c r="I131" t="str">
        <f>_xlfn.IFNA(VLOOKUP(C131,merchants!$A$2:$D$41,2,FALSE),"Merchant not found")</f>
        <v>Merchant_016</v>
      </c>
      <c r="J131" t="str">
        <f>_xlfn.IFNA(VLOOKUP(C131,merchants!$A$2:$D$41,3,FALSE),"Merchant not found")</f>
        <v>bill_payment</v>
      </c>
      <c r="K131" t="str">
        <f>_xlfn.IFNA(VLOOKUP(C131,merchants!$A$2:$D$41,4,FALSE),"Merchant not found")</f>
        <v>West</v>
      </c>
      <c r="L131">
        <f t="shared" si="6"/>
        <v>46052</v>
      </c>
      <c r="M131">
        <f t="shared" si="7"/>
        <v>0</v>
      </c>
      <c r="N131" t="str">
        <f t="shared" si="8"/>
        <v>Standard</v>
      </c>
      <c r="O131">
        <f>HLOOKUP(F131,fee_lookup!$B$1:$E$2,2,FALSE)</f>
        <v>1.7999999999999999E-2</v>
      </c>
    </row>
    <row r="132" spans="1:15" x14ac:dyDescent="0.3">
      <c r="A132" t="s">
        <v>509</v>
      </c>
      <c r="B132" t="s">
        <v>458</v>
      </c>
      <c r="C132" t="s">
        <v>12</v>
      </c>
      <c r="D132" t="s">
        <v>510</v>
      </c>
      <c r="E132" t="s">
        <v>227</v>
      </c>
      <c r="F132" t="s">
        <v>113</v>
      </c>
      <c r="G132" t="s">
        <v>198</v>
      </c>
      <c r="H132" t="s">
        <v>93</v>
      </c>
      <c r="I132" t="str">
        <f>_xlfn.IFNA(VLOOKUP(C132,merchants!$A$2:$D$41,2,FALSE),"Merchant not found")</f>
        <v>Merchant_003</v>
      </c>
      <c r="J132" t="str">
        <f>_xlfn.IFNA(VLOOKUP(C132,merchants!$A$2:$D$41,3,FALSE),"Merchant not found")</f>
        <v>grocery</v>
      </c>
      <c r="K132" t="str">
        <f>_xlfn.IFNA(VLOOKUP(C132,merchants!$A$2:$D$41,4,FALSE),"Merchant not found")</f>
        <v>East</v>
      </c>
      <c r="L132">
        <f t="shared" si="6"/>
        <v>46035</v>
      </c>
      <c r="M132">
        <f t="shared" si="7"/>
        <v>0</v>
      </c>
      <c r="N132" t="str">
        <f t="shared" si="8"/>
        <v>Standard</v>
      </c>
      <c r="O132">
        <f>HLOOKUP(F132,fee_lookup!$B$1:$E$2,2,FALSE)</f>
        <v>2E-3</v>
      </c>
    </row>
    <row r="133" spans="1:15" x14ac:dyDescent="0.3">
      <c r="A133" t="s">
        <v>511</v>
      </c>
      <c r="B133" t="s">
        <v>129</v>
      </c>
      <c r="C133" t="s">
        <v>62</v>
      </c>
      <c r="D133" t="s">
        <v>512</v>
      </c>
      <c r="E133" t="s">
        <v>227</v>
      </c>
      <c r="F133" t="s">
        <v>122</v>
      </c>
      <c r="G133" t="s">
        <v>107</v>
      </c>
      <c r="H133" t="s">
        <v>425</v>
      </c>
      <c r="I133" t="str">
        <f>_xlfn.IFNA(VLOOKUP(C133,merchants!$A$2:$D$41,2,FALSE),"Merchant not found")</f>
        <v>Merchant_025</v>
      </c>
      <c r="J133" t="str">
        <f>_xlfn.IFNA(VLOOKUP(C133,merchants!$A$2:$D$41,3,FALSE),"Merchant not found")</f>
        <v>travel</v>
      </c>
      <c r="K133" t="str">
        <f>_xlfn.IFNA(VLOOKUP(C133,merchants!$A$2:$D$41,4,FALSE),"Merchant not found")</f>
        <v>South</v>
      </c>
      <c r="L133">
        <f t="shared" si="6"/>
        <v>46046</v>
      </c>
      <c r="M133">
        <f t="shared" si="7"/>
        <v>0</v>
      </c>
      <c r="N133" t="str">
        <f t="shared" si="8"/>
        <v>Standard</v>
      </c>
      <c r="O133">
        <f>HLOOKUP(F133,fee_lookup!$B$1:$E$2,2,FALSE)</f>
        <v>1.2E-2</v>
      </c>
    </row>
    <row r="134" spans="1:15" x14ac:dyDescent="0.3">
      <c r="A134" t="s">
        <v>513</v>
      </c>
      <c r="B134" t="s">
        <v>213</v>
      </c>
      <c r="C134" t="s">
        <v>12</v>
      </c>
      <c r="D134" t="s">
        <v>514</v>
      </c>
      <c r="E134" t="s">
        <v>227</v>
      </c>
      <c r="F134" t="s">
        <v>154</v>
      </c>
      <c r="G134" t="s">
        <v>107</v>
      </c>
      <c r="H134" t="s">
        <v>43</v>
      </c>
      <c r="I134" t="str">
        <f>_xlfn.IFNA(VLOOKUP(C134,merchants!$A$2:$D$41,2,FALSE),"Merchant not found")</f>
        <v>Merchant_003</v>
      </c>
      <c r="J134" t="str">
        <f>_xlfn.IFNA(VLOOKUP(C134,merchants!$A$2:$D$41,3,FALSE),"Merchant not found")</f>
        <v>grocery</v>
      </c>
      <c r="K134" t="str">
        <f>_xlfn.IFNA(VLOOKUP(C134,merchants!$A$2:$D$41,4,FALSE),"Merchant not found")</f>
        <v>East</v>
      </c>
      <c r="L134">
        <f t="shared" si="6"/>
        <v>46048</v>
      </c>
      <c r="M134">
        <f t="shared" si="7"/>
        <v>0</v>
      </c>
      <c r="N134" t="str">
        <f t="shared" si="8"/>
        <v>Standard</v>
      </c>
      <c r="O134">
        <f>HLOOKUP(F134,fee_lookup!$B$1:$E$2,2,FALSE)</f>
        <v>1.7999999999999999E-2</v>
      </c>
    </row>
    <row r="135" spans="1:15" x14ac:dyDescent="0.3">
      <c r="A135" t="s">
        <v>515</v>
      </c>
      <c r="B135" t="s">
        <v>415</v>
      </c>
      <c r="C135" t="s">
        <v>70</v>
      </c>
      <c r="D135" t="s">
        <v>516</v>
      </c>
      <c r="E135" t="s">
        <v>112</v>
      </c>
      <c r="F135" t="s">
        <v>122</v>
      </c>
      <c r="G135" t="s">
        <v>107</v>
      </c>
      <c r="H135" t="s">
        <v>34</v>
      </c>
      <c r="I135" t="str">
        <f>_xlfn.IFNA(VLOOKUP(C135,merchants!$A$2:$D$41,2,FALSE),"Merchant not found")</f>
        <v>Merchant_029</v>
      </c>
      <c r="J135" t="str">
        <f>_xlfn.IFNA(VLOOKUP(C135,merchants!$A$2:$D$41,3,FALSE),"Merchant not found")</f>
        <v>ecommerce</v>
      </c>
      <c r="K135" t="str">
        <f>_xlfn.IFNA(VLOOKUP(C135,merchants!$A$2:$D$41,4,FALSE),"Merchant not found")</f>
        <v>North</v>
      </c>
      <c r="L135">
        <f t="shared" si="6"/>
        <v>46039</v>
      </c>
      <c r="M135">
        <f t="shared" si="7"/>
        <v>0</v>
      </c>
      <c r="N135" t="str">
        <f t="shared" si="8"/>
        <v>Standard</v>
      </c>
      <c r="O135">
        <f>HLOOKUP(F135,fee_lookup!$B$1:$E$2,2,FALSE)</f>
        <v>1.2E-2</v>
      </c>
    </row>
    <row r="136" spans="1:15" x14ac:dyDescent="0.3">
      <c r="A136" t="s">
        <v>517</v>
      </c>
      <c r="B136" t="s">
        <v>150</v>
      </c>
      <c r="C136" t="s">
        <v>66</v>
      </c>
      <c r="D136" t="s">
        <v>518</v>
      </c>
      <c r="E136" t="s">
        <v>140</v>
      </c>
      <c r="F136" t="s">
        <v>113</v>
      </c>
      <c r="G136" t="s">
        <v>107</v>
      </c>
      <c r="H136" t="s">
        <v>519</v>
      </c>
      <c r="I136" t="str">
        <f>_xlfn.IFNA(VLOOKUP(C136,merchants!$A$2:$D$41,2,FALSE),"Merchant not found")</f>
        <v>Merchant_027</v>
      </c>
      <c r="J136" t="str">
        <f>_xlfn.IFNA(VLOOKUP(C136,merchants!$A$2:$D$41,3,FALSE),"Merchant not found")</f>
        <v>ecommerce</v>
      </c>
      <c r="K136" t="str">
        <f>_xlfn.IFNA(VLOOKUP(C136,merchants!$A$2:$D$41,4,FALSE),"Merchant not found")</f>
        <v>North</v>
      </c>
      <c r="L136">
        <f t="shared" si="6"/>
        <v>46039</v>
      </c>
      <c r="M136">
        <f t="shared" si="7"/>
        <v>0</v>
      </c>
      <c r="N136" t="str">
        <f t="shared" si="8"/>
        <v>Standard</v>
      </c>
      <c r="O136">
        <f>HLOOKUP(F136,fee_lookup!$B$1:$E$2,2,FALSE)</f>
        <v>2E-3</v>
      </c>
    </row>
    <row r="137" spans="1:15" x14ac:dyDescent="0.3">
      <c r="A137" t="s">
        <v>520</v>
      </c>
      <c r="B137" t="s">
        <v>423</v>
      </c>
      <c r="C137" t="s">
        <v>56</v>
      </c>
      <c r="D137" t="s">
        <v>521</v>
      </c>
      <c r="E137" t="s">
        <v>227</v>
      </c>
      <c r="F137" t="s">
        <v>113</v>
      </c>
      <c r="G137" t="s">
        <v>107</v>
      </c>
      <c r="H137" t="s">
        <v>114</v>
      </c>
      <c r="I137" t="str">
        <f>_xlfn.IFNA(VLOOKUP(C137,merchants!$A$2:$D$41,2,FALSE),"Merchant not found")</f>
        <v>Merchant_022</v>
      </c>
      <c r="J137" t="str">
        <f>_xlfn.IFNA(VLOOKUP(C137,merchants!$A$2:$D$41,3,FALSE),"Merchant not found")</f>
        <v>travel</v>
      </c>
      <c r="K137" t="str">
        <f>_xlfn.IFNA(VLOOKUP(C137,merchants!$A$2:$D$41,4,FALSE),"Merchant not found")</f>
        <v>South</v>
      </c>
      <c r="L137">
        <f t="shared" si="6"/>
        <v>46027</v>
      </c>
      <c r="M137">
        <f t="shared" si="7"/>
        <v>0</v>
      </c>
      <c r="N137" t="str">
        <f t="shared" si="8"/>
        <v>Standard</v>
      </c>
      <c r="O137">
        <f>HLOOKUP(F137,fee_lookup!$B$1:$E$2,2,FALSE)</f>
        <v>2E-3</v>
      </c>
    </row>
    <row r="138" spans="1:15" x14ac:dyDescent="0.3">
      <c r="A138" t="s">
        <v>522</v>
      </c>
      <c r="B138" t="s">
        <v>146</v>
      </c>
      <c r="C138" t="s">
        <v>56</v>
      </c>
      <c r="D138" t="s">
        <v>523</v>
      </c>
      <c r="E138" t="s">
        <v>112</v>
      </c>
      <c r="F138" t="s">
        <v>113</v>
      </c>
      <c r="G138" t="s">
        <v>107</v>
      </c>
      <c r="H138" t="s">
        <v>180</v>
      </c>
      <c r="I138" t="str">
        <f>_xlfn.IFNA(VLOOKUP(C138,merchants!$A$2:$D$41,2,FALSE),"Merchant not found")</f>
        <v>Merchant_022</v>
      </c>
      <c r="J138" t="str">
        <f>_xlfn.IFNA(VLOOKUP(C138,merchants!$A$2:$D$41,3,FALSE),"Merchant not found")</f>
        <v>travel</v>
      </c>
      <c r="K138" t="str">
        <f>_xlfn.IFNA(VLOOKUP(C138,merchants!$A$2:$D$41,4,FALSE),"Merchant not found")</f>
        <v>South</v>
      </c>
      <c r="L138">
        <f t="shared" si="6"/>
        <v>46045</v>
      </c>
      <c r="M138">
        <f t="shared" si="7"/>
        <v>0</v>
      </c>
      <c r="N138" t="str">
        <f t="shared" si="8"/>
        <v>Standard</v>
      </c>
      <c r="O138">
        <f>HLOOKUP(F138,fee_lookup!$B$1:$E$2,2,FALSE)</f>
        <v>2E-3</v>
      </c>
    </row>
    <row r="139" spans="1:15" x14ac:dyDescent="0.3">
      <c r="A139" t="s">
        <v>524</v>
      </c>
      <c r="B139" t="s">
        <v>525</v>
      </c>
      <c r="C139" t="s">
        <v>76</v>
      </c>
      <c r="D139" t="s">
        <v>526</v>
      </c>
      <c r="E139" t="s">
        <v>105</v>
      </c>
      <c r="F139" t="s">
        <v>106</v>
      </c>
      <c r="G139" t="s">
        <v>155</v>
      </c>
      <c r="H139" t="s">
        <v>527</v>
      </c>
      <c r="I139" t="str">
        <f>_xlfn.IFNA(VLOOKUP(C139,merchants!$A$2:$D$41,2,FALSE),"Merchant not found")</f>
        <v>Merchant_032</v>
      </c>
      <c r="J139" t="str">
        <f>_xlfn.IFNA(VLOOKUP(C139,merchants!$A$2:$D$41,3,FALSE),"Merchant not found")</f>
        <v>food_delivery</v>
      </c>
      <c r="K139" t="str">
        <f>_xlfn.IFNA(VLOOKUP(C139,merchants!$A$2:$D$41,4,FALSE),"Merchant not found")</f>
        <v>West</v>
      </c>
      <c r="L139">
        <f t="shared" si="6"/>
        <v>46050</v>
      </c>
      <c r="M139">
        <f t="shared" si="7"/>
        <v>0</v>
      </c>
      <c r="N139" t="str">
        <f t="shared" si="8"/>
        <v>Standard</v>
      </c>
      <c r="O139">
        <f>HLOOKUP(F139,fee_lookup!$B$1:$E$2,2,FALSE)</f>
        <v>0.01</v>
      </c>
    </row>
    <row r="140" spans="1:15" x14ac:dyDescent="0.3">
      <c r="A140" t="s">
        <v>528</v>
      </c>
      <c r="B140" t="s">
        <v>529</v>
      </c>
      <c r="C140" t="s">
        <v>50</v>
      </c>
      <c r="D140" t="s">
        <v>530</v>
      </c>
      <c r="E140" t="s">
        <v>227</v>
      </c>
      <c r="F140" t="s">
        <v>113</v>
      </c>
      <c r="G140" t="s">
        <v>107</v>
      </c>
      <c r="H140" t="s">
        <v>70</v>
      </c>
      <c r="I140" t="str">
        <f>_xlfn.IFNA(VLOOKUP(C140,merchants!$A$2:$D$41,2,FALSE),"Merchant not found")</f>
        <v>Merchant_019</v>
      </c>
      <c r="J140" t="str">
        <f>_xlfn.IFNA(VLOOKUP(C140,merchants!$A$2:$D$41,3,FALSE),"Merchant not found")</f>
        <v>grocery</v>
      </c>
      <c r="K140" t="str">
        <f>_xlfn.IFNA(VLOOKUP(C140,merchants!$A$2:$D$41,4,FALSE),"Merchant not found")</f>
        <v>North</v>
      </c>
      <c r="L140">
        <f t="shared" si="6"/>
        <v>46024</v>
      </c>
      <c r="M140">
        <f t="shared" si="7"/>
        <v>0</v>
      </c>
      <c r="N140" t="str">
        <f t="shared" si="8"/>
        <v>Standard</v>
      </c>
      <c r="O140">
        <f>HLOOKUP(F140,fee_lookup!$B$1:$E$2,2,FALSE)</f>
        <v>2E-3</v>
      </c>
    </row>
    <row r="141" spans="1:15" x14ac:dyDescent="0.3">
      <c r="A141" t="s">
        <v>531</v>
      </c>
      <c r="B141" t="s">
        <v>137</v>
      </c>
      <c r="C141" t="s">
        <v>23</v>
      </c>
      <c r="D141" t="s">
        <v>532</v>
      </c>
      <c r="E141" t="s">
        <v>220</v>
      </c>
      <c r="F141" t="s">
        <v>154</v>
      </c>
      <c r="G141" t="s">
        <v>107</v>
      </c>
      <c r="H141" t="s">
        <v>533</v>
      </c>
      <c r="I141" t="str">
        <f>_xlfn.IFNA(VLOOKUP(C141,merchants!$A$2:$D$41,2,FALSE),"Merchant not found")</f>
        <v>Merchant_007</v>
      </c>
      <c r="J141" t="str">
        <f>_xlfn.IFNA(VLOOKUP(C141,merchants!$A$2:$D$41,3,FALSE),"Merchant not found")</f>
        <v>food_delivery</v>
      </c>
      <c r="K141" t="str">
        <f>_xlfn.IFNA(VLOOKUP(C141,merchants!$A$2:$D$41,4,FALSE),"Merchant not found")</f>
        <v>East</v>
      </c>
      <c r="L141">
        <f t="shared" si="6"/>
        <v>46046</v>
      </c>
      <c r="M141">
        <f t="shared" si="7"/>
        <v>0</v>
      </c>
      <c r="N141" t="str">
        <f t="shared" si="8"/>
        <v>Standard</v>
      </c>
      <c r="O141">
        <f>HLOOKUP(F141,fee_lookup!$B$1:$E$2,2,FALSE)</f>
        <v>1.7999999999999999E-2</v>
      </c>
    </row>
    <row r="142" spans="1:15" x14ac:dyDescent="0.3">
      <c r="A142" t="s">
        <v>534</v>
      </c>
      <c r="B142" t="s">
        <v>41</v>
      </c>
      <c r="C142" t="s">
        <v>12</v>
      </c>
      <c r="D142" t="s">
        <v>535</v>
      </c>
      <c r="E142" t="s">
        <v>140</v>
      </c>
      <c r="F142" t="s">
        <v>113</v>
      </c>
      <c r="G142" t="s">
        <v>107</v>
      </c>
      <c r="H142" t="s">
        <v>288</v>
      </c>
      <c r="I142" t="str">
        <f>_xlfn.IFNA(VLOOKUP(C142,merchants!$A$2:$D$41,2,FALSE),"Merchant not found")</f>
        <v>Merchant_003</v>
      </c>
      <c r="J142" t="str">
        <f>_xlfn.IFNA(VLOOKUP(C142,merchants!$A$2:$D$41,3,FALSE),"Merchant not found")</f>
        <v>grocery</v>
      </c>
      <c r="K142" t="str">
        <f>_xlfn.IFNA(VLOOKUP(C142,merchants!$A$2:$D$41,4,FALSE),"Merchant not found")</f>
        <v>East</v>
      </c>
      <c r="L142">
        <f t="shared" si="6"/>
        <v>46028</v>
      </c>
      <c r="M142">
        <f t="shared" si="7"/>
        <v>0</v>
      </c>
      <c r="N142" t="str">
        <f t="shared" si="8"/>
        <v>Standard</v>
      </c>
      <c r="O142">
        <f>HLOOKUP(F142,fee_lookup!$B$1:$E$2,2,FALSE)</f>
        <v>2E-3</v>
      </c>
    </row>
    <row r="143" spans="1:15" x14ac:dyDescent="0.3">
      <c r="A143" t="s">
        <v>536</v>
      </c>
      <c r="B143" t="s">
        <v>537</v>
      </c>
      <c r="C143" t="s">
        <v>60</v>
      </c>
      <c r="D143" t="s">
        <v>538</v>
      </c>
      <c r="E143" t="s">
        <v>112</v>
      </c>
      <c r="F143" t="s">
        <v>113</v>
      </c>
      <c r="G143" t="s">
        <v>107</v>
      </c>
      <c r="H143" t="s">
        <v>187</v>
      </c>
      <c r="I143" t="str">
        <f>_xlfn.IFNA(VLOOKUP(C143,merchants!$A$2:$D$41,2,FALSE),"Merchant not found")</f>
        <v>Merchant_024</v>
      </c>
      <c r="J143" t="str">
        <f>_xlfn.IFNA(VLOOKUP(C143,merchants!$A$2:$D$41,3,FALSE),"Merchant not found")</f>
        <v>grocery</v>
      </c>
      <c r="K143" t="str">
        <f>_xlfn.IFNA(VLOOKUP(C143,merchants!$A$2:$D$41,4,FALSE),"Merchant not found")</f>
        <v>North</v>
      </c>
      <c r="L143">
        <f t="shared" si="6"/>
        <v>46048</v>
      </c>
      <c r="M143">
        <f t="shared" si="7"/>
        <v>0</v>
      </c>
      <c r="N143" t="str">
        <f t="shared" si="8"/>
        <v>Standard</v>
      </c>
      <c r="O143">
        <f>HLOOKUP(F143,fee_lookup!$B$1:$E$2,2,FALSE)</f>
        <v>2E-3</v>
      </c>
    </row>
    <row r="144" spans="1:15" x14ac:dyDescent="0.3">
      <c r="A144" t="s">
        <v>539</v>
      </c>
      <c r="B144" t="s">
        <v>458</v>
      </c>
      <c r="C144" t="s">
        <v>87</v>
      </c>
      <c r="D144" t="s">
        <v>540</v>
      </c>
      <c r="E144" t="s">
        <v>118</v>
      </c>
      <c r="F144" t="s">
        <v>113</v>
      </c>
      <c r="G144" t="s">
        <v>107</v>
      </c>
      <c r="H144" t="s">
        <v>316</v>
      </c>
      <c r="I144" t="str">
        <f>_xlfn.IFNA(VLOOKUP(C144,merchants!$A$2:$D$41,2,FALSE),"Merchant not found")</f>
        <v>Merchant_037</v>
      </c>
      <c r="J144" t="str">
        <f>_xlfn.IFNA(VLOOKUP(C144,merchants!$A$2:$D$41,3,FALSE),"Merchant not found")</f>
        <v>entertainment</v>
      </c>
      <c r="K144" t="str">
        <f>_xlfn.IFNA(VLOOKUP(C144,merchants!$A$2:$D$41,4,FALSE),"Merchant not found")</f>
        <v>South</v>
      </c>
      <c r="L144">
        <f t="shared" si="6"/>
        <v>46027</v>
      </c>
      <c r="M144">
        <f t="shared" si="7"/>
        <v>0</v>
      </c>
      <c r="N144" t="str">
        <f t="shared" si="8"/>
        <v>Standard</v>
      </c>
      <c r="O144">
        <f>HLOOKUP(F144,fee_lookup!$B$1:$E$2,2,FALSE)</f>
        <v>2E-3</v>
      </c>
    </row>
    <row r="145" spans="1:15" x14ac:dyDescent="0.3">
      <c r="A145" t="s">
        <v>541</v>
      </c>
      <c r="B145" t="s">
        <v>162</v>
      </c>
      <c r="C145" t="s">
        <v>20</v>
      </c>
      <c r="D145" t="s">
        <v>542</v>
      </c>
      <c r="E145" t="s">
        <v>112</v>
      </c>
      <c r="F145" t="s">
        <v>154</v>
      </c>
      <c r="G145" t="s">
        <v>107</v>
      </c>
      <c r="H145" t="s">
        <v>208</v>
      </c>
      <c r="I145" t="str">
        <f>_xlfn.IFNA(VLOOKUP(C145,merchants!$A$2:$D$41,2,FALSE),"Merchant not found")</f>
        <v>Merchant_006</v>
      </c>
      <c r="J145" t="str">
        <f>_xlfn.IFNA(VLOOKUP(C145,merchants!$A$2:$D$41,3,FALSE),"Merchant not found")</f>
        <v>food_delivery</v>
      </c>
      <c r="K145" t="str">
        <f>_xlfn.IFNA(VLOOKUP(C145,merchants!$A$2:$D$41,4,FALSE),"Merchant not found")</f>
        <v>South</v>
      </c>
      <c r="L145">
        <f t="shared" si="6"/>
        <v>46048</v>
      </c>
      <c r="M145">
        <f t="shared" si="7"/>
        <v>0</v>
      </c>
      <c r="N145" t="str">
        <f t="shared" si="8"/>
        <v>Standard</v>
      </c>
      <c r="O145">
        <f>HLOOKUP(F145,fee_lookup!$B$1:$E$2,2,FALSE)</f>
        <v>1.7999999999999999E-2</v>
      </c>
    </row>
    <row r="146" spans="1:15" x14ac:dyDescent="0.3">
      <c r="A146" t="s">
        <v>543</v>
      </c>
      <c r="B146" t="s">
        <v>103</v>
      </c>
      <c r="C146" t="s">
        <v>43</v>
      </c>
      <c r="D146" t="s">
        <v>544</v>
      </c>
      <c r="E146" t="s">
        <v>112</v>
      </c>
      <c r="F146" t="s">
        <v>113</v>
      </c>
      <c r="G146" t="s">
        <v>107</v>
      </c>
      <c r="H146" t="s">
        <v>222</v>
      </c>
      <c r="I146" t="str">
        <f>_xlfn.IFNA(VLOOKUP(C146,merchants!$A$2:$D$41,2,FALSE),"Merchant not found")</f>
        <v>Merchant_016</v>
      </c>
      <c r="J146" t="str">
        <f>_xlfn.IFNA(VLOOKUP(C146,merchants!$A$2:$D$41,3,FALSE),"Merchant not found")</f>
        <v>bill_payment</v>
      </c>
      <c r="K146" t="str">
        <f>_xlfn.IFNA(VLOOKUP(C146,merchants!$A$2:$D$41,4,FALSE),"Merchant not found")</f>
        <v>West</v>
      </c>
      <c r="L146">
        <f t="shared" si="6"/>
        <v>46050</v>
      </c>
      <c r="M146">
        <f t="shared" si="7"/>
        <v>0</v>
      </c>
      <c r="N146" t="str">
        <f t="shared" si="8"/>
        <v>Standard</v>
      </c>
      <c r="O146">
        <f>HLOOKUP(F146,fee_lookup!$B$1:$E$2,2,FALSE)</f>
        <v>2E-3</v>
      </c>
    </row>
    <row r="147" spans="1:15" x14ac:dyDescent="0.3">
      <c r="A147" t="s">
        <v>545</v>
      </c>
      <c r="B147" t="s">
        <v>546</v>
      </c>
      <c r="C147" t="s">
        <v>72</v>
      </c>
      <c r="D147" t="s">
        <v>547</v>
      </c>
      <c r="E147" t="s">
        <v>112</v>
      </c>
      <c r="F147" t="s">
        <v>154</v>
      </c>
      <c r="G147" t="s">
        <v>107</v>
      </c>
      <c r="H147" t="s">
        <v>413</v>
      </c>
      <c r="I147" t="str">
        <f>_xlfn.IFNA(VLOOKUP(C147,merchants!$A$2:$D$41,2,FALSE),"Merchant not found")</f>
        <v>Merchant_030</v>
      </c>
      <c r="J147" t="str">
        <f>_xlfn.IFNA(VLOOKUP(C147,merchants!$A$2:$D$41,3,FALSE),"Merchant not found")</f>
        <v>travel</v>
      </c>
      <c r="K147" t="str">
        <f>_xlfn.IFNA(VLOOKUP(C147,merchants!$A$2:$D$41,4,FALSE),"Merchant not found")</f>
        <v>West</v>
      </c>
      <c r="L147">
        <f t="shared" si="6"/>
        <v>46052</v>
      </c>
      <c r="M147">
        <f t="shared" si="7"/>
        <v>0</v>
      </c>
      <c r="N147" t="str">
        <f t="shared" si="8"/>
        <v>Standard</v>
      </c>
      <c r="O147">
        <f>HLOOKUP(F147,fee_lookup!$B$1:$E$2,2,FALSE)</f>
        <v>1.7999999999999999E-2</v>
      </c>
    </row>
    <row r="148" spans="1:15" x14ac:dyDescent="0.3">
      <c r="A148" t="s">
        <v>548</v>
      </c>
      <c r="B148" t="s">
        <v>549</v>
      </c>
      <c r="C148" t="s">
        <v>4</v>
      </c>
      <c r="D148" t="s">
        <v>550</v>
      </c>
      <c r="E148" t="s">
        <v>112</v>
      </c>
      <c r="F148" t="s">
        <v>113</v>
      </c>
      <c r="G148" t="s">
        <v>107</v>
      </c>
      <c r="H148" t="s">
        <v>191</v>
      </c>
      <c r="I148" t="str">
        <f>_xlfn.IFNA(VLOOKUP(C148,merchants!$A$2:$D$41,2,FALSE),"Merchant not found")</f>
        <v>Merchant_001</v>
      </c>
      <c r="J148" t="str">
        <f>_xlfn.IFNA(VLOOKUP(C148,merchants!$A$2:$D$41,3,FALSE),"Merchant not found")</f>
        <v>ecommerce</v>
      </c>
      <c r="K148" t="str">
        <f>_xlfn.IFNA(VLOOKUP(C148,merchants!$A$2:$D$41,4,FALSE),"Merchant not found")</f>
        <v>South</v>
      </c>
      <c r="L148">
        <f t="shared" si="6"/>
        <v>46031</v>
      </c>
      <c r="M148">
        <f t="shared" si="7"/>
        <v>0</v>
      </c>
      <c r="N148" t="str">
        <f t="shared" si="8"/>
        <v>Standard</v>
      </c>
      <c r="O148">
        <f>HLOOKUP(F148,fee_lookup!$B$1:$E$2,2,FALSE)</f>
        <v>2E-3</v>
      </c>
    </row>
    <row r="149" spans="1:15" x14ac:dyDescent="0.3">
      <c r="A149" t="s">
        <v>551</v>
      </c>
      <c r="B149" t="s">
        <v>552</v>
      </c>
      <c r="C149" t="s">
        <v>32</v>
      </c>
      <c r="D149" t="s">
        <v>553</v>
      </c>
      <c r="E149" t="s">
        <v>227</v>
      </c>
      <c r="F149" t="s">
        <v>113</v>
      </c>
      <c r="G149" t="s">
        <v>198</v>
      </c>
      <c r="H149" t="s">
        <v>28</v>
      </c>
      <c r="I149" t="str">
        <f>_xlfn.IFNA(VLOOKUP(C149,merchants!$A$2:$D$41,2,FALSE),"Merchant not found")</f>
        <v>Merchant_011</v>
      </c>
      <c r="J149" t="str">
        <f>_xlfn.IFNA(VLOOKUP(C149,merchants!$A$2:$D$41,3,FALSE),"Merchant not found")</f>
        <v>ecommerce</v>
      </c>
      <c r="K149" t="str">
        <f>_xlfn.IFNA(VLOOKUP(C149,merchants!$A$2:$D$41,4,FALSE),"Merchant not found")</f>
        <v>North</v>
      </c>
      <c r="L149">
        <f t="shared" si="6"/>
        <v>46051</v>
      </c>
      <c r="M149">
        <f t="shared" si="7"/>
        <v>0</v>
      </c>
      <c r="N149" t="str">
        <f t="shared" si="8"/>
        <v>Standard</v>
      </c>
      <c r="O149">
        <f>HLOOKUP(F149,fee_lookup!$B$1:$E$2,2,FALSE)</f>
        <v>2E-3</v>
      </c>
    </row>
    <row r="150" spans="1:15" x14ac:dyDescent="0.3">
      <c r="A150" t="s">
        <v>554</v>
      </c>
      <c r="B150" t="s">
        <v>171</v>
      </c>
      <c r="C150" t="s">
        <v>68</v>
      </c>
      <c r="D150" t="s">
        <v>555</v>
      </c>
      <c r="E150" t="s">
        <v>105</v>
      </c>
      <c r="F150" t="s">
        <v>122</v>
      </c>
      <c r="G150" t="s">
        <v>107</v>
      </c>
      <c r="H150" t="s">
        <v>556</v>
      </c>
      <c r="I150" t="str">
        <f>_xlfn.IFNA(VLOOKUP(C150,merchants!$A$2:$D$41,2,FALSE),"Merchant not found")</f>
        <v>Merchant_028</v>
      </c>
      <c r="J150" t="str">
        <f>_xlfn.IFNA(VLOOKUP(C150,merchants!$A$2:$D$41,3,FALSE),"Merchant not found")</f>
        <v>ecommerce</v>
      </c>
      <c r="K150" t="str">
        <f>_xlfn.IFNA(VLOOKUP(C150,merchants!$A$2:$D$41,4,FALSE),"Merchant not found")</f>
        <v>South</v>
      </c>
      <c r="L150">
        <f t="shared" si="6"/>
        <v>46037</v>
      </c>
      <c r="M150">
        <f t="shared" si="7"/>
        <v>0</v>
      </c>
      <c r="N150" t="str">
        <f t="shared" si="8"/>
        <v>Standard</v>
      </c>
      <c r="O150">
        <f>HLOOKUP(F150,fee_lookup!$B$1:$E$2,2,FALSE)</f>
        <v>1.2E-2</v>
      </c>
    </row>
    <row r="151" spans="1:15" x14ac:dyDescent="0.3">
      <c r="A151" t="s">
        <v>557</v>
      </c>
      <c r="B151" t="s">
        <v>558</v>
      </c>
      <c r="C151" t="s">
        <v>36</v>
      </c>
      <c r="D151" t="s">
        <v>559</v>
      </c>
      <c r="E151" t="s">
        <v>227</v>
      </c>
      <c r="F151" t="s">
        <v>113</v>
      </c>
      <c r="G151" t="s">
        <v>107</v>
      </c>
      <c r="H151" t="s">
        <v>112</v>
      </c>
      <c r="I151" t="str">
        <f>_xlfn.IFNA(VLOOKUP(C151,merchants!$A$2:$D$41,2,FALSE),"Merchant not found")</f>
        <v>Merchant_013</v>
      </c>
      <c r="J151" t="str">
        <f>_xlfn.IFNA(VLOOKUP(C151,merchants!$A$2:$D$41,3,FALSE),"Merchant not found")</f>
        <v>travel</v>
      </c>
      <c r="K151" t="str">
        <f>_xlfn.IFNA(VLOOKUP(C151,merchants!$A$2:$D$41,4,FALSE),"Merchant not found")</f>
        <v>East</v>
      </c>
      <c r="L151">
        <f t="shared" si="6"/>
        <v>46031</v>
      </c>
      <c r="M151">
        <f t="shared" si="7"/>
        <v>0</v>
      </c>
      <c r="N151" t="str">
        <f t="shared" si="8"/>
        <v>Standard</v>
      </c>
      <c r="O151">
        <f>HLOOKUP(F151,fee_lookup!$B$1:$E$2,2,FALSE)</f>
        <v>2E-3</v>
      </c>
    </row>
    <row r="152" spans="1:15" x14ac:dyDescent="0.3">
      <c r="A152" t="s">
        <v>560</v>
      </c>
      <c r="B152" t="s">
        <v>116</v>
      </c>
      <c r="C152" t="s">
        <v>62</v>
      </c>
      <c r="D152" t="s">
        <v>561</v>
      </c>
      <c r="E152" t="s">
        <v>145</v>
      </c>
      <c r="F152" t="s">
        <v>113</v>
      </c>
      <c r="G152" t="s">
        <v>107</v>
      </c>
      <c r="H152" t="s">
        <v>508</v>
      </c>
      <c r="I152" t="str">
        <f>_xlfn.IFNA(VLOOKUP(C152,merchants!$A$2:$D$41,2,FALSE),"Merchant not found")</f>
        <v>Merchant_025</v>
      </c>
      <c r="J152" t="str">
        <f>_xlfn.IFNA(VLOOKUP(C152,merchants!$A$2:$D$41,3,FALSE),"Merchant not found")</f>
        <v>travel</v>
      </c>
      <c r="K152" t="str">
        <f>_xlfn.IFNA(VLOOKUP(C152,merchants!$A$2:$D$41,4,FALSE),"Merchant not found")</f>
        <v>South</v>
      </c>
      <c r="L152">
        <f t="shared" si="6"/>
        <v>46050</v>
      </c>
      <c r="M152">
        <f t="shared" si="7"/>
        <v>0</v>
      </c>
      <c r="N152" t="str">
        <f t="shared" si="8"/>
        <v>Standard</v>
      </c>
      <c r="O152">
        <f>HLOOKUP(F152,fee_lookup!$B$1:$E$2,2,FALSE)</f>
        <v>2E-3</v>
      </c>
    </row>
    <row r="153" spans="1:15" x14ac:dyDescent="0.3">
      <c r="A153" t="s">
        <v>562</v>
      </c>
      <c r="B153" t="s">
        <v>563</v>
      </c>
      <c r="C153" t="s">
        <v>8</v>
      </c>
      <c r="D153" t="s">
        <v>564</v>
      </c>
      <c r="E153" t="s">
        <v>112</v>
      </c>
      <c r="F153" t="s">
        <v>113</v>
      </c>
      <c r="G153" t="s">
        <v>107</v>
      </c>
      <c r="H153" t="s">
        <v>425</v>
      </c>
      <c r="I153" t="str">
        <f>_xlfn.IFNA(VLOOKUP(C153,merchants!$A$2:$D$41,2,FALSE),"Merchant not found")</f>
        <v>Merchant_002</v>
      </c>
      <c r="J153" t="str">
        <f>_xlfn.IFNA(VLOOKUP(C153,merchants!$A$2:$D$41,3,FALSE),"Merchant not found")</f>
        <v>grocery</v>
      </c>
      <c r="K153" t="str">
        <f>_xlfn.IFNA(VLOOKUP(C153,merchants!$A$2:$D$41,4,FALSE),"Merchant not found")</f>
        <v>West</v>
      </c>
      <c r="L153">
        <f t="shared" si="6"/>
        <v>46034</v>
      </c>
      <c r="M153">
        <f t="shared" si="7"/>
        <v>0</v>
      </c>
      <c r="N153" t="str">
        <f t="shared" si="8"/>
        <v>Standard</v>
      </c>
      <c r="O153">
        <f>HLOOKUP(F153,fee_lookup!$B$1:$E$2,2,FALSE)</f>
        <v>2E-3</v>
      </c>
    </row>
    <row r="154" spans="1:15" x14ac:dyDescent="0.3">
      <c r="A154" t="s">
        <v>565</v>
      </c>
      <c r="B154" t="s">
        <v>318</v>
      </c>
      <c r="C154" t="s">
        <v>15</v>
      </c>
      <c r="D154" t="s">
        <v>566</v>
      </c>
      <c r="E154" t="s">
        <v>227</v>
      </c>
      <c r="F154" t="s">
        <v>113</v>
      </c>
      <c r="G154" t="s">
        <v>107</v>
      </c>
      <c r="H154" t="s">
        <v>567</v>
      </c>
      <c r="I154" t="str">
        <f>_xlfn.IFNA(VLOOKUP(C154,merchants!$A$2:$D$41,2,FALSE),"Merchant not found")</f>
        <v>Merchant_004</v>
      </c>
      <c r="J154" t="str">
        <f>_xlfn.IFNA(VLOOKUP(C154,merchants!$A$2:$D$41,3,FALSE),"Merchant not found")</f>
        <v>ecommerce</v>
      </c>
      <c r="K154" t="str">
        <f>_xlfn.IFNA(VLOOKUP(C154,merchants!$A$2:$D$41,4,FALSE),"Merchant not found")</f>
        <v>East</v>
      </c>
      <c r="L154">
        <f t="shared" si="6"/>
        <v>46035</v>
      </c>
      <c r="M154">
        <f t="shared" si="7"/>
        <v>0</v>
      </c>
      <c r="N154" t="str">
        <f t="shared" si="8"/>
        <v>Standard</v>
      </c>
      <c r="O154">
        <f>HLOOKUP(F154,fee_lookup!$B$1:$E$2,2,FALSE)</f>
        <v>2E-3</v>
      </c>
    </row>
    <row r="155" spans="1:15" x14ac:dyDescent="0.3">
      <c r="A155" t="s">
        <v>568</v>
      </c>
      <c r="B155" t="s">
        <v>185</v>
      </c>
      <c r="C155" t="s">
        <v>41</v>
      </c>
      <c r="D155" t="s">
        <v>569</v>
      </c>
      <c r="E155" t="s">
        <v>112</v>
      </c>
      <c r="F155" t="s">
        <v>106</v>
      </c>
      <c r="G155" t="s">
        <v>107</v>
      </c>
      <c r="H155" t="s">
        <v>567</v>
      </c>
      <c r="I155" t="str">
        <f>_xlfn.IFNA(VLOOKUP(C155,merchants!$A$2:$D$41,2,FALSE),"Merchant not found")</f>
        <v>Merchant_015</v>
      </c>
      <c r="J155" t="str">
        <f>_xlfn.IFNA(VLOOKUP(C155,merchants!$A$2:$D$41,3,FALSE),"Merchant not found")</f>
        <v>travel</v>
      </c>
      <c r="K155" t="str">
        <f>_xlfn.IFNA(VLOOKUP(C155,merchants!$A$2:$D$41,4,FALSE),"Merchant not found")</f>
        <v>North</v>
      </c>
      <c r="L155">
        <f t="shared" si="6"/>
        <v>46046</v>
      </c>
      <c r="M155">
        <f t="shared" si="7"/>
        <v>0</v>
      </c>
      <c r="N155" t="str">
        <f t="shared" si="8"/>
        <v>Standard</v>
      </c>
      <c r="O155">
        <f>HLOOKUP(F155,fee_lookup!$B$1:$E$2,2,FALSE)</f>
        <v>0.01</v>
      </c>
    </row>
    <row r="156" spans="1:15" x14ac:dyDescent="0.3">
      <c r="A156" t="s">
        <v>570</v>
      </c>
      <c r="B156" t="s">
        <v>452</v>
      </c>
      <c r="C156" t="s">
        <v>36</v>
      </c>
      <c r="D156" t="s">
        <v>571</v>
      </c>
      <c r="E156" t="s">
        <v>145</v>
      </c>
      <c r="F156" t="s">
        <v>122</v>
      </c>
      <c r="G156" t="s">
        <v>107</v>
      </c>
      <c r="H156" t="s">
        <v>114</v>
      </c>
      <c r="I156" t="str">
        <f>_xlfn.IFNA(VLOOKUP(C156,merchants!$A$2:$D$41,2,FALSE),"Merchant not found")</f>
        <v>Merchant_013</v>
      </c>
      <c r="J156" t="str">
        <f>_xlfn.IFNA(VLOOKUP(C156,merchants!$A$2:$D$41,3,FALSE),"Merchant not found")</f>
        <v>travel</v>
      </c>
      <c r="K156" t="str">
        <f>_xlfn.IFNA(VLOOKUP(C156,merchants!$A$2:$D$41,4,FALSE),"Merchant not found")</f>
        <v>East</v>
      </c>
      <c r="L156">
        <f t="shared" si="6"/>
        <v>46048</v>
      </c>
      <c r="M156">
        <f t="shared" si="7"/>
        <v>0</v>
      </c>
      <c r="N156" t="str">
        <f t="shared" si="8"/>
        <v>Standard</v>
      </c>
      <c r="O156">
        <f>HLOOKUP(F156,fee_lookup!$B$1:$E$2,2,FALSE)</f>
        <v>1.2E-2</v>
      </c>
    </row>
    <row r="157" spans="1:15" x14ac:dyDescent="0.3">
      <c r="A157" t="s">
        <v>572</v>
      </c>
      <c r="B157" t="s">
        <v>196</v>
      </c>
      <c r="C157" t="s">
        <v>28</v>
      </c>
      <c r="D157" t="s">
        <v>573</v>
      </c>
      <c r="E157" t="s">
        <v>127</v>
      </c>
      <c r="F157" t="s">
        <v>154</v>
      </c>
      <c r="G157" t="s">
        <v>107</v>
      </c>
      <c r="H157" t="s">
        <v>409</v>
      </c>
      <c r="I157" t="str">
        <f>_xlfn.IFNA(VLOOKUP(C157,merchants!$A$2:$D$41,2,FALSE),"Merchant not found")</f>
        <v>Merchant_009</v>
      </c>
      <c r="J157" t="str">
        <f>_xlfn.IFNA(VLOOKUP(C157,merchants!$A$2:$D$41,3,FALSE),"Merchant not found")</f>
        <v>ecommerce</v>
      </c>
      <c r="K157" t="str">
        <f>_xlfn.IFNA(VLOOKUP(C157,merchants!$A$2:$D$41,4,FALSE),"Merchant not found")</f>
        <v>North</v>
      </c>
      <c r="L157">
        <f t="shared" si="6"/>
        <v>46031</v>
      </c>
      <c r="M157">
        <f t="shared" si="7"/>
        <v>0</v>
      </c>
      <c r="N157" t="str">
        <f t="shared" si="8"/>
        <v>Standard</v>
      </c>
      <c r="O157">
        <f>HLOOKUP(F157,fee_lookup!$B$1:$E$2,2,FALSE)</f>
        <v>1.7999999999999999E-2</v>
      </c>
    </row>
    <row r="158" spans="1:15" x14ac:dyDescent="0.3">
      <c r="A158" t="s">
        <v>574</v>
      </c>
      <c r="B158" t="s">
        <v>54</v>
      </c>
      <c r="C158" t="s">
        <v>52</v>
      </c>
      <c r="D158" t="s">
        <v>575</v>
      </c>
      <c r="E158" t="s">
        <v>105</v>
      </c>
      <c r="F158" t="s">
        <v>113</v>
      </c>
      <c r="G158" t="s">
        <v>107</v>
      </c>
      <c r="H158" t="s">
        <v>123</v>
      </c>
      <c r="I158" t="str">
        <f>_xlfn.IFNA(VLOOKUP(C158,merchants!$A$2:$D$41,2,FALSE),"Merchant not found")</f>
        <v>Merchant_020</v>
      </c>
      <c r="J158" t="str">
        <f>_xlfn.IFNA(VLOOKUP(C158,merchants!$A$2:$D$41,3,FALSE),"Merchant not found")</f>
        <v>food_delivery</v>
      </c>
      <c r="K158" t="str">
        <f>_xlfn.IFNA(VLOOKUP(C158,merchants!$A$2:$D$41,4,FALSE),"Merchant not found")</f>
        <v>East</v>
      </c>
      <c r="L158">
        <f t="shared" si="6"/>
        <v>46026</v>
      </c>
      <c r="M158">
        <f t="shared" si="7"/>
        <v>0</v>
      </c>
      <c r="N158" t="str">
        <f t="shared" si="8"/>
        <v>Standard</v>
      </c>
      <c r="O158">
        <f>HLOOKUP(F158,fee_lookup!$B$1:$E$2,2,FALSE)</f>
        <v>2E-3</v>
      </c>
    </row>
    <row r="159" spans="1:15" x14ac:dyDescent="0.3">
      <c r="A159" t="s">
        <v>576</v>
      </c>
      <c r="B159" t="s">
        <v>577</v>
      </c>
      <c r="C159" t="s">
        <v>28</v>
      </c>
      <c r="D159" t="s">
        <v>578</v>
      </c>
      <c r="E159" t="s">
        <v>112</v>
      </c>
      <c r="F159" t="s">
        <v>154</v>
      </c>
      <c r="G159" t="s">
        <v>155</v>
      </c>
      <c r="H159" t="s">
        <v>32</v>
      </c>
      <c r="I159" t="str">
        <f>_xlfn.IFNA(VLOOKUP(C159,merchants!$A$2:$D$41,2,FALSE),"Merchant not found")</f>
        <v>Merchant_009</v>
      </c>
      <c r="J159" t="str">
        <f>_xlfn.IFNA(VLOOKUP(C159,merchants!$A$2:$D$41,3,FALSE),"Merchant not found")</f>
        <v>ecommerce</v>
      </c>
      <c r="K159" t="str">
        <f>_xlfn.IFNA(VLOOKUP(C159,merchants!$A$2:$D$41,4,FALSE),"Merchant not found")</f>
        <v>North</v>
      </c>
      <c r="L159">
        <f t="shared" si="6"/>
        <v>46037</v>
      </c>
      <c r="M159">
        <f t="shared" si="7"/>
        <v>0</v>
      </c>
      <c r="N159" t="str">
        <f t="shared" si="8"/>
        <v>Standard</v>
      </c>
      <c r="O159">
        <f>HLOOKUP(F159,fee_lookup!$B$1:$E$2,2,FALSE)</f>
        <v>1.7999999999999999E-2</v>
      </c>
    </row>
    <row r="160" spans="1:15" x14ac:dyDescent="0.3">
      <c r="A160" t="s">
        <v>579</v>
      </c>
      <c r="B160" t="s">
        <v>210</v>
      </c>
      <c r="C160" t="s">
        <v>34</v>
      </c>
      <c r="D160" t="s">
        <v>580</v>
      </c>
      <c r="E160" t="s">
        <v>274</v>
      </c>
      <c r="F160" t="s">
        <v>113</v>
      </c>
      <c r="G160" t="s">
        <v>107</v>
      </c>
      <c r="H160" t="s">
        <v>62</v>
      </c>
      <c r="I160" t="str">
        <f>_xlfn.IFNA(VLOOKUP(C160,merchants!$A$2:$D$41,2,FALSE),"Merchant not found")</f>
        <v>Merchant_012</v>
      </c>
      <c r="J160" t="str">
        <f>_xlfn.IFNA(VLOOKUP(C160,merchants!$A$2:$D$41,3,FALSE),"Merchant not found")</f>
        <v>ecommerce</v>
      </c>
      <c r="K160" t="str">
        <f>_xlfn.IFNA(VLOOKUP(C160,merchants!$A$2:$D$41,4,FALSE),"Merchant not found")</f>
        <v>East</v>
      </c>
      <c r="L160">
        <f t="shared" si="6"/>
        <v>46052</v>
      </c>
      <c r="M160">
        <f t="shared" si="7"/>
        <v>0</v>
      </c>
      <c r="N160" t="str">
        <f t="shared" si="8"/>
        <v>Standard</v>
      </c>
      <c r="O160">
        <f>HLOOKUP(F160,fee_lookup!$B$1:$E$2,2,FALSE)</f>
        <v>2E-3</v>
      </c>
    </row>
    <row r="161" spans="1:15" x14ac:dyDescent="0.3">
      <c r="A161" t="s">
        <v>581</v>
      </c>
      <c r="B161" t="s">
        <v>582</v>
      </c>
      <c r="C161" t="s">
        <v>80</v>
      </c>
      <c r="D161" t="s">
        <v>583</v>
      </c>
      <c r="E161" t="s">
        <v>105</v>
      </c>
      <c r="F161" t="s">
        <v>113</v>
      </c>
      <c r="G161" t="s">
        <v>107</v>
      </c>
      <c r="H161" t="s">
        <v>323</v>
      </c>
      <c r="I161" t="str">
        <f>_xlfn.IFNA(VLOOKUP(C161,merchants!$A$2:$D$41,2,FALSE),"Merchant not found")</f>
        <v>Merchant_034</v>
      </c>
      <c r="J161" t="str">
        <f>_xlfn.IFNA(VLOOKUP(C161,merchants!$A$2:$D$41,3,FALSE),"Merchant not found")</f>
        <v>travel</v>
      </c>
      <c r="K161" t="str">
        <f>_xlfn.IFNA(VLOOKUP(C161,merchants!$A$2:$D$41,4,FALSE),"Merchant not found")</f>
        <v>South</v>
      </c>
      <c r="L161">
        <f t="shared" si="6"/>
        <v>46027</v>
      </c>
      <c r="M161">
        <f t="shared" si="7"/>
        <v>0</v>
      </c>
      <c r="N161" t="str">
        <f t="shared" si="8"/>
        <v>Standard</v>
      </c>
      <c r="O161">
        <f>HLOOKUP(F161,fee_lookup!$B$1:$E$2,2,FALSE)</f>
        <v>2E-3</v>
      </c>
    </row>
    <row r="162" spans="1:15" x14ac:dyDescent="0.3">
      <c r="A162" t="s">
        <v>584</v>
      </c>
      <c r="B162" t="s">
        <v>108</v>
      </c>
      <c r="C162" t="s">
        <v>46</v>
      </c>
      <c r="D162" t="s">
        <v>585</v>
      </c>
      <c r="E162" t="s">
        <v>220</v>
      </c>
      <c r="F162" t="s">
        <v>113</v>
      </c>
      <c r="G162" t="s">
        <v>107</v>
      </c>
      <c r="H162" t="s">
        <v>259</v>
      </c>
      <c r="I162" t="str">
        <f>_xlfn.IFNA(VLOOKUP(C162,merchants!$A$2:$D$41,2,FALSE),"Merchant not found")</f>
        <v>Merchant_017</v>
      </c>
      <c r="J162" t="str">
        <f>_xlfn.IFNA(VLOOKUP(C162,merchants!$A$2:$D$41,3,FALSE),"Merchant not found")</f>
        <v>grocery</v>
      </c>
      <c r="K162" t="str">
        <f>_xlfn.IFNA(VLOOKUP(C162,merchants!$A$2:$D$41,4,FALSE),"Merchant not found")</f>
        <v>North</v>
      </c>
      <c r="L162">
        <f t="shared" si="6"/>
        <v>46052</v>
      </c>
      <c r="M162">
        <f t="shared" si="7"/>
        <v>0</v>
      </c>
      <c r="N162" t="str">
        <f t="shared" si="8"/>
        <v>Standard</v>
      </c>
      <c r="O162">
        <f>HLOOKUP(F162,fee_lookup!$B$1:$E$2,2,FALSE)</f>
        <v>2E-3</v>
      </c>
    </row>
    <row r="163" spans="1:15" x14ac:dyDescent="0.3">
      <c r="A163" t="s">
        <v>586</v>
      </c>
      <c r="B163" t="s">
        <v>587</v>
      </c>
      <c r="C163" t="s">
        <v>25</v>
      </c>
      <c r="D163" t="s">
        <v>588</v>
      </c>
      <c r="E163" t="s">
        <v>145</v>
      </c>
      <c r="F163" t="s">
        <v>122</v>
      </c>
      <c r="G163" t="s">
        <v>107</v>
      </c>
      <c r="H163" t="s">
        <v>191</v>
      </c>
      <c r="I163" t="str">
        <f>_xlfn.IFNA(VLOOKUP(C163,merchants!$A$2:$D$41,2,FALSE),"Merchant not found")</f>
        <v>Merchant_008</v>
      </c>
      <c r="J163" t="str">
        <f>_xlfn.IFNA(VLOOKUP(C163,merchants!$A$2:$D$41,3,FALSE),"Merchant not found")</f>
        <v>food_delivery</v>
      </c>
      <c r="K163" t="str">
        <f>_xlfn.IFNA(VLOOKUP(C163,merchants!$A$2:$D$41,4,FALSE),"Merchant not found")</f>
        <v>North</v>
      </c>
      <c r="L163">
        <f t="shared" si="6"/>
        <v>46048</v>
      </c>
      <c r="M163">
        <f t="shared" si="7"/>
        <v>0</v>
      </c>
      <c r="N163" t="str">
        <f t="shared" si="8"/>
        <v>Standard</v>
      </c>
      <c r="O163">
        <f>HLOOKUP(F163,fee_lookup!$B$1:$E$2,2,FALSE)</f>
        <v>1.2E-2</v>
      </c>
    </row>
    <row r="164" spans="1:15" x14ac:dyDescent="0.3">
      <c r="A164" t="s">
        <v>589</v>
      </c>
      <c r="B164" t="s">
        <v>590</v>
      </c>
      <c r="C164" t="s">
        <v>64</v>
      </c>
      <c r="D164" t="s">
        <v>591</v>
      </c>
      <c r="E164" t="s">
        <v>127</v>
      </c>
      <c r="F164" t="s">
        <v>122</v>
      </c>
      <c r="G164" t="s">
        <v>107</v>
      </c>
      <c r="H164" t="s">
        <v>592</v>
      </c>
      <c r="I164" t="str">
        <f>_xlfn.IFNA(VLOOKUP(C164,merchants!$A$2:$D$41,2,FALSE),"Merchant not found")</f>
        <v>Merchant_026</v>
      </c>
      <c r="J164" t="str">
        <f>_xlfn.IFNA(VLOOKUP(C164,merchants!$A$2:$D$41,3,FALSE),"Merchant not found")</f>
        <v>food_delivery</v>
      </c>
      <c r="K164" t="str">
        <f>_xlfn.IFNA(VLOOKUP(C164,merchants!$A$2:$D$41,4,FALSE),"Merchant not found")</f>
        <v>East</v>
      </c>
      <c r="L164">
        <f t="shared" si="6"/>
        <v>46025</v>
      </c>
      <c r="M164">
        <f t="shared" si="7"/>
        <v>0</v>
      </c>
      <c r="N164" t="str">
        <f t="shared" si="8"/>
        <v>Standard</v>
      </c>
      <c r="O164">
        <f>HLOOKUP(F164,fee_lookup!$B$1:$E$2,2,FALSE)</f>
        <v>1.2E-2</v>
      </c>
    </row>
    <row r="165" spans="1:15" x14ac:dyDescent="0.3">
      <c r="A165" t="s">
        <v>593</v>
      </c>
      <c r="B165" t="s">
        <v>594</v>
      </c>
      <c r="C165" t="s">
        <v>4</v>
      </c>
      <c r="D165" t="s">
        <v>595</v>
      </c>
      <c r="E165" t="s">
        <v>227</v>
      </c>
      <c r="F165" t="s">
        <v>106</v>
      </c>
      <c r="G165" t="s">
        <v>107</v>
      </c>
      <c r="H165" t="s">
        <v>78</v>
      </c>
      <c r="I165" t="str">
        <f>_xlfn.IFNA(VLOOKUP(C165,merchants!$A$2:$D$41,2,FALSE),"Merchant not found")</f>
        <v>Merchant_001</v>
      </c>
      <c r="J165" t="str">
        <f>_xlfn.IFNA(VLOOKUP(C165,merchants!$A$2:$D$41,3,FALSE),"Merchant not found")</f>
        <v>ecommerce</v>
      </c>
      <c r="K165" t="str">
        <f>_xlfn.IFNA(VLOOKUP(C165,merchants!$A$2:$D$41,4,FALSE),"Merchant not found")</f>
        <v>South</v>
      </c>
      <c r="L165">
        <f t="shared" si="6"/>
        <v>46034</v>
      </c>
      <c r="M165">
        <f t="shared" si="7"/>
        <v>0</v>
      </c>
      <c r="N165" t="str">
        <f t="shared" si="8"/>
        <v>Standard</v>
      </c>
      <c r="O165">
        <f>HLOOKUP(F165,fee_lookup!$B$1:$E$2,2,FALSE)</f>
        <v>0.01</v>
      </c>
    </row>
    <row r="166" spans="1:15" x14ac:dyDescent="0.3">
      <c r="A166" t="s">
        <v>596</v>
      </c>
      <c r="B166" t="s">
        <v>597</v>
      </c>
      <c r="C166" t="s">
        <v>46</v>
      </c>
      <c r="D166" t="s">
        <v>598</v>
      </c>
      <c r="E166" t="s">
        <v>127</v>
      </c>
      <c r="F166" t="s">
        <v>113</v>
      </c>
      <c r="G166" t="s">
        <v>107</v>
      </c>
      <c r="H166" t="s">
        <v>150</v>
      </c>
      <c r="I166" t="str">
        <f>_xlfn.IFNA(VLOOKUP(C166,merchants!$A$2:$D$41,2,FALSE),"Merchant not found")</f>
        <v>Merchant_017</v>
      </c>
      <c r="J166" t="str">
        <f>_xlfn.IFNA(VLOOKUP(C166,merchants!$A$2:$D$41,3,FALSE),"Merchant not found")</f>
        <v>grocery</v>
      </c>
      <c r="K166" t="str">
        <f>_xlfn.IFNA(VLOOKUP(C166,merchants!$A$2:$D$41,4,FALSE),"Merchant not found")</f>
        <v>North</v>
      </c>
      <c r="L166">
        <f t="shared" si="6"/>
        <v>46040</v>
      </c>
      <c r="M166">
        <f t="shared" si="7"/>
        <v>0</v>
      </c>
      <c r="N166" t="str">
        <f t="shared" si="8"/>
        <v>Standard</v>
      </c>
      <c r="O166">
        <f>HLOOKUP(F166,fee_lookup!$B$1:$E$2,2,FALSE)</f>
        <v>2E-3</v>
      </c>
    </row>
    <row r="167" spans="1:15" x14ac:dyDescent="0.3">
      <c r="A167" t="s">
        <v>599</v>
      </c>
      <c r="B167" t="s">
        <v>533</v>
      </c>
      <c r="C167" t="s">
        <v>41</v>
      </c>
      <c r="D167" t="s">
        <v>600</v>
      </c>
      <c r="E167" t="s">
        <v>145</v>
      </c>
      <c r="F167" t="s">
        <v>113</v>
      </c>
      <c r="G167" t="s">
        <v>107</v>
      </c>
      <c r="H167" t="s">
        <v>131</v>
      </c>
      <c r="I167" t="str">
        <f>_xlfn.IFNA(VLOOKUP(C167,merchants!$A$2:$D$41,2,FALSE),"Merchant not found")</f>
        <v>Merchant_015</v>
      </c>
      <c r="J167" t="str">
        <f>_xlfn.IFNA(VLOOKUP(C167,merchants!$A$2:$D$41,3,FALSE),"Merchant not found")</f>
        <v>travel</v>
      </c>
      <c r="K167" t="str">
        <f>_xlfn.IFNA(VLOOKUP(C167,merchants!$A$2:$D$41,4,FALSE),"Merchant not found")</f>
        <v>North</v>
      </c>
      <c r="L167">
        <f t="shared" si="6"/>
        <v>46035</v>
      </c>
      <c r="M167">
        <f t="shared" si="7"/>
        <v>0</v>
      </c>
      <c r="N167" t="str">
        <f t="shared" si="8"/>
        <v>Standard</v>
      </c>
      <c r="O167">
        <f>HLOOKUP(F167,fee_lookup!$B$1:$E$2,2,FALSE)</f>
        <v>2E-3</v>
      </c>
    </row>
    <row r="168" spans="1:15" x14ac:dyDescent="0.3">
      <c r="A168" t="s">
        <v>601</v>
      </c>
      <c r="B168" t="s">
        <v>602</v>
      </c>
      <c r="C168" t="s">
        <v>54</v>
      </c>
      <c r="D168" t="s">
        <v>603</v>
      </c>
      <c r="E168" t="s">
        <v>274</v>
      </c>
      <c r="F168" t="s">
        <v>106</v>
      </c>
      <c r="G168" t="s">
        <v>155</v>
      </c>
      <c r="H168" t="s">
        <v>208</v>
      </c>
      <c r="I168" t="str">
        <f>_xlfn.IFNA(VLOOKUP(C168,merchants!$A$2:$D$41,2,FALSE),"Merchant not found")</f>
        <v>Merchant_021</v>
      </c>
      <c r="J168" t="str">
        <f>_xlfn.IFNA(VLOOKUP(C168,merchants!$A$2:$D$41,3,FALSE),"Merchant not found")</f>
        <v>food_delivery</v>
      </c>
      <c r="K168" t="str">
        <f>_xlfn.IFNA(VLOOKUP(C168,merchants!$A$2:$D$41,4,FALSE),"Merchant not found")</f>
        <v>East</v>
      </c>
      <c r="L168">
        <f t="shared" si="6"/>
        <v>46023</v>
      </c>
      <c r="M168">
        <f t="shared" si="7"/>
        <v>0</v>
      </c>
      <c r="N168" t="str">
        <f t="shared" si="8"/>
        <v>Standard</v>
      </c>
      <c r="O168">
        <f>HLOOKUP(F168,fee_lookup!$B$1:$E$2,2,FALSE)</f>
        <v>0.01</v>
      </c>
    </row>
    <row r="169" spans="1:15" x14ac:dyDescent="0.3">
      <c r="A169" t="s">
        <v>604</v>
      </c>
      <c r="B169" t="s">
        <v>452</v>
      </c>
      <c r="C169" t="s">
        <v>72</v>
      </c>
      <c r="D169" t="s">
        <v>295</v>
      </c>
      <c r="E169" t="s">
        <v>127</v>
      </c>
      <c r="F169" t="s">
        <v>154</v>
      </c>
      <c r="G169" t="s">
        <v>107</v>
      </c>
      <c r="H169" t="s">
        <v>385</v>
      </c>
      <c r="I169" t="str">
        <f>_xlfn.IFNA(VLOOKUP(C169,merchants!$A$2:$D$41,2,FALSE),"Merchant not found")</f>
        <v>Merchant_030</v>
      </c>
      <c r="J169" t="str">
        <f>_xlfn.IFNA(VLOOKUP(C169,merchants!$A$2:$D$41,3,FALSE),"Merchant not found")</f>
        <v>travel</v>
      </c>
      <c r="K169" t="str">
        <f>_xlfn.IFNA(VLOOKUP(C169,merchants!$A$2:$D$41,4,FALSE),"Merchant not found")</f>
        <v>West</v>
      </c>
      <c r="L169">
        <f t="shared" si="6"/>
        <v>46030</v>
      </c>
      <c r="M169">
        <f t="shared" si="7"/>
        <v>0</v>
      </c>
      <c r="N169" t="str">
        <f t="shared" si="8"/>
        <v>Standard</v>
      </c>
      <c r="O169">
        <f>HLOOKUP(F169,fee_lookup!$B$1:$E$2,2,FALSE)</f>
        <v>1.7999999999999999E-2</v>
      </c>
    </row>
    <row r="170" spans="1:15" x14ac:dyDescent="0.3">
      <c r="A170" t="s">
        <v>605</v>
      </c>
      <c r="B170" t="s">
        <v>131</v>
      </c>
      <c r="C170" t="s">
        <v>28</v>
      </c>
      <c r="D170" t="s">
        <v>606</v>
      </c>
      <c r="E170" t="s">
        <v>112</v>
      </c>
      <c r="F170" t="s">
        <v>122</v>
      </c>
      <c r="G170" t="s">
        <v>107</v>
      </c>
      <c r="H170" t="s">
        <v>17</v>
      </c>
      <c r="I170" t="str">
        <f>_xlfn.IFNA(VLOOKUP(C170,merchants!$A$2:$D$41,2,FALSE),"Merchant not found")</f>
        <v>Merchant_009</v>
      </c>
      <c r="J170" t="str">
        <f>_xlfn.IFNA(VLOOKUP(C170,merchants!$A$2:$D$41,3,FALSE),"Merchant not found")</f>
        <v>ecommerce</v>
      </c>
      <c r="K170" t="str">
        <f>_xlfn.IFNA(VLOOKUP(C170,merchants!$A$2:$D$41,4,FALSE),"Merchant not found")</f>
        <v>North</v>
      </c>
      <c r="L170">
        <f t="shared" si="6"/>
        <v>46032</v>
      </c>
      <c r="M170">
        <f t="shared" si="7"/>
        <v>0</v>
      </c>
      <c r="N170" t="str">
        <f t="shared" si="8"/>
        <v>Standard</v>
      </c>
      <c r="O170">
        <f>HLOOKUP(F170,fee_lookup!$B$1:$E$2,2,FALSE)</f>
        <v>1.2E-2</v>
      </c>
    </row>
    <row r="171" spans="1:15" x14ac:dyDescent="0.3">
      <c r="A171" t="s">
        <v>607</v>
      </c>
      <c r="B171" t="s">
        <v>131</v>
      </c>
      <c r="C171" t="s">
        <v>23</v>
      </c>
      <c r="D171" t="s">
        <v>608</v>
      </c>
      <c r="E171" t="s">
        <v>105</v>
      </c>
      <c r="F171" t="s">
        <v>106</v>
      </c>
      <c r="G171" t="s">
        <v>107</v>
      </c>
      <c r="H171" t="s">
        <v>72</v>
      </c>
      <c r="I171" t="str">
        <f>_xlfn.IFNA(VLOOKUP(C171,merchants!$A$2:$D$41,2,FALSE),"Merchant not found")</f>
        <v>Merchant_007</v>
      </c>
      <c r="J171" t="str">
        <f>_xlfn.IFNA(VLOOKUP(C171,merchants!$A$2:$D$41,3,FALSE),"Merchant not found")</f>
        <v>food_delivery</v>
      </c>
      <c r="K171" t="str">
        <f>_xlfn.IFNA(VLOOKUP(C171,merchants!$A$2:$D$41,4,FALSE),"Merchant not found")</f>
        <v>East</v>
      </c>
      <c r="L171">
        <f t="shared" si="6"/>
        <v>46024</v>
      </c>
      <c r="M171">
        <f t="shared" si="7"/>
        <v>0</v>
      </c>
      <c r="N171" t="str">
        <f t="shared" si="8"/>
        <v>Standard</v>
      </c>
      <c r="O171">
        <f>HLOOKUP(F171,fee_lookup!$B$1:$E$2,2,FALSE)</f>
        <v>0.01</v>
      </c>
    </row>
    <row r="172" spans="1:15" x14ac:dyDescent="0.3">
      <c r="A172" t="s">
        <v>609</v>
      </c>
      <c r="B172" t="s">
        <v>610</v>
      </c>
      <c r="C172" t="s">
        <v>72</v>
      </c>
      <c r="D172" t="s">
        <v>611</v>
      </c>
      <c r="E172" t="s">
        <v>227</v>
      </c>
      <c r="F172" t="s">
        <v>122</v>
      </c>
      <c r="G172" t="s">
        <v>107</v>
      </c>
      <c r="H172" t="s">
        <v>363</v>
      </c>
      <c r="I172" t="str">
        <f>_xlfn.IFNA(VLOOKUP(C172,merchants!$A$2:$D$41,2,FALSE),"Merchant not found")</f>
        <v>Merchant_030</v>
      </c>
      <c r="J172" t="str">
        <f>_xlfn.IFNA(VLOOKUP(C172,merchants!$A$2:$D$41,3,FALSE),"Merchant not found")</f>
        <v>travel</v>
      </c>
      <c r="K172" t="str">
        <f>_xlfn.IFNA(VLOOKUP(C172,merchants!$A$2:$D$41,4,FALSE),"Merchant not found")</f>
        <v>West</v>
      </c>
      <c r="L172">
        <f t="shared" si="6"/>
        <v>46051</v>
      </c>
      <c r="M172">
        <f t="shared" si="7"/>
        <v>0</v>
      </c>
      <c r="N172" t="str">
        <f t="shared" si="8"/>
        <v>Standard</v>
      </c>
      <c r="O172">
        <f>HLOOKUP(F172,fee_lookup!$B$1:$E$2,2,FALSE)</f>
        <v>1.2E-2</v>
      </c>
    </row>
    <row r="173" spans="1:15" x14ac:dyDescent="0.3">
      <c r="A173" t="s">
        <v>612</v>
      </c>
      <c r="B173" t="s">
        <v>245</v>
      </c>
      <c r="C173" t="s">
        <v>66</v>
      </c>
      <c r="D173" t="s">
        <v>613</v>
      </c>
      <c r="E173" t="s">
        <v>112</v>
      </c>
      <c r="F173" t="s">
        <v>113</v>
      </c>
      <c r="G173" t="s">
        <v>107</v>
      </c>
      <c r="H173" t="s">
        <v>313</v>
      </c>
      <c r="I173" t="str">
        <f>_xlfn.IFNA(VLOOKUP(C173,merchants!$A$2:$D$41,2,FALSE),"Merchant not found")</f>
        <v>Merchant_027</v>
      </c>
      <c r="J173" t="str">
        <f>_xlfn.IFNA(VLOOKUP(C173,merchants!$A$2:$D$41,3,FALSE),"Merchant not found")</f>
        <v>ecommerce</v>
      </c>
      <c r="K173" t="str">
        <f>_xlfn.IFNA(VLOOKUP(C173,merchants!$A$2:$D$41,4,FALSE),"Merchant not found")</f>
        <v>North</v>
      </c>
      <c r="L173">
        <f t="shared" si="6"/>
        <v>46044</v>
      </c>
      <c r="M173">
        <f t="shared" si="7"/>
        <v>0</v>
      </c>
      <c r="N173" t="str">
        <f t="shared" si="8"/>
        <v>Standard</v>
      </c>
      <c r="O173">
        <f>HLOOKUP(F173,fee_lookup!$B$1:$E$2,2,FALSE)</f>
        <v>2E-3</v>
      </c>
    </row>
    <row r="174" spans="1:15" x14ac:dyDescent="0.3">
      <c r="A174" t="s">
        <v>614</v>
      </c>
      <c r="B174" t="s">
        <v>210</v>
      </c>
      <c r="C174" t="s">
        <v>23</v>
      </c>
      <c r="D174" t="s">
        <v>615</v>
      </c>
      <c r="E174" t="s">
        <v>140</v>
      </c>
      <c r="F174" t="s">
        <v>122</v>
      </c>
      <c r="G174" t="s">
        <v>107</v>
      </c>
      <c r="H174" t="s">
        <v>267</v>
      </c>
      <c r="I174" t="str">
        <f>_xlfn.IFNA(VLOOKUP(C174,merchants!$A$2:$D$41,2,FALSE),"Merchant not found")</f>
        <v>Merchant_007</v>
      </c>
      <c r="J174" t="str">
        <f>_xlfn.IFNA(VLOOKUP(C174,merchants!$A$2:$D$41,3,FALSE),"Merchant not found")</f>
        <v>food_delivery</v>
      </c>
      <c r="K174" t="str">
        <f>_xlfn.IFNA(VLOOKUP(C174,merchants!$A$2:$D$41,4,FALSE),"Merchant not found")</f>
        <v>East</v>
      </c>
      <c r="L174">
        <f t="shared" si="6"/>
        <v>46046</v>
      </c>
      <c r="M174">
        <f t="shared" si="7"/>
        <v>0</v>
      </c>
      <c r="N174" t="str">
        <f t="shared" si="8"/>
        <v>Standard</v>
      </c>
      <c r="O174">
        <f>HLOOKUP(F174,fee_lookup!$B$1:$E$2,2,FALSE)</f>
        <v>1.2E-2</v>
      </c>
    </row>
    <row r="175" spans="1:15" x14ac:dyDescent="0.3">
      <c r="A175" t="s">
        <v>616</v>
      </c>
      <c r="B175" t="s">
        <v>46</v>
      </c>
      <c r="C175" t="s">
        <v>60</v>
      </c>
      <c r="D175" t="s">
        <v>617</v>
      </c>
      <c r="E175" t="s">
        <v>145</v>
      </c>
      <c r="F175" t="s">
        <v>113</v>
      </c>
      <c r="G175" t="s">
        <v>107</v>
      </c>
      <c r="H175" t="s">
        <v>66</v>
      </c>
      <c r="I175" t="str">
        <f>_xlfn.IFNA(VLOOKUP(C175,merchants!$A$2:$D$41,2,FALSE),"Merchant not found")</f>
        <v>Merchant_024</v>
      </c>
      <c r="J175" t="str">
        <f>_xlfn.IFNA(VLOOKUP(C175,merchants!$A$2:$D$41,3,FALSE),"Merchant not found")</f>
        <v>grocery</v>
      </c>
      <c r="K175" t="str">
        <f>_xlfn.IFNA(VLOOKUP(C175,merchants!$A$2:$D$41,4,FALSE),"Merchant not found")</f>
        <v>North</v>
      </c>
      <c r="L175">
        <f t="shared" si="6"/>
        <v>46042</v>
      </c>
      <c r="M175">
        <f t="shared" si="7"/>
        <v>0</v>
      </c>
      <c r="N175" t="str">
        <f t="shared" si="8"/>
        <v>Standard</v>
      </c>
      <c r="O175">
        <f>HLOOKUP(F175,fee_lookup!$B$1:$E$2,2,FALSE)</f>
        <v>2E-3</v>
      </c>
    </row>
    <row r="176" spans="1:15" x14ac:dyDescent="0.3">
      <c r="A176" t="s">
        <v>618</v>
      </c>
      <c r="B176" t="s">
        <v>619</v>
      </c>
      <c r="C176" t="s">
        <v>23</v>
      </c>
      <c r="D176" t="s">
        <v>620</v>
      </c>
      <c r="E176" t="s">
        <v>118</v>
      </c>
      <c r="F176" t="s">
        <v>154</v>
      </c>
      <c r="G176" t="s">
        <v>155</v>
      </c>
      <c r="H176" t="s">
        <v>316</v>
      </c>
      <c r="I176" t="str">
        <f>_xlfn.IFNA(VLOOKUP(C176,merchants!$A$2:$D$41,2,FALSE),"Merchant not found")</f>
        <v>Merchant_007</v>
      </c>
      <c r="J176" t="str">
        <f>_xlfn.IFNA(VLOOKUP(C176,merchants!$A$2:$D$41,3,FALSE),"Merchant not found")</f>
        <v>food_delivery</v>
      </c>
      <c r="K176" t="str">
        <f>_xlfn.IFNA(VLOOKUP(C176,merchants!$A$2:$D$41,4,FALSE),"Merchant not found")</f>
        <v>East</v>
      </c>
      <c r="L176">
        <f t="shared" si="6"/>
        <v>46037</v>
      </c>
      <c r="M176">
        <f t="shared" si="7"/>
        <v>0</v>
      </c>
      <c r="N176" t="str">
        <f t="shared" si="8"/>
        <v>Standard</v>
      </c>
      <c r="O176">
        <f>HLOOKUP(F176,fee_lookup!$B$1:$E$2,2,FALSE)</f>
        <v>1.7999999999999999E-2</v>
      </c>
    </row>
    <row r="177" spans="1:15" x14ac:dyDescent="0.3">
      <c r="A177" t="s">
        <v>621</v>
      </c>
      <c r="B177" t="s">
        <v>622</v>
      </c>
      <c r="C177" t="s">
        <v>58</v>
      </c>
      <c r="D177" t="s">
        <v>623</v>
      </c>
      <c r="E177" t="s">
        <v>227</v>
      </c>
      <c r="F177" t="s">
        <v>113</v>
      </c>
      <c r="G177" t="s">
        <v>107</v>
      </c>
      <c r="H177" t="s">
        <v>23</v>
      </c>
      <c r="I177" t="str">
        <f>_xlfn.IFNA(VLOOKUP(C177,merchants!$A$2:$D$41,2,FALSE),"Merchant not found")</f>
        <v>Merchant_023</v>
      </c>
      <c r="J177" t="str">
        <f>_xlfn.IFNA(VLOOKUP(C177,merchants!$A$2:$D$41,3,FALSE),"Merchant not found")</f>
        <v>travel</v>
      </c>
      <c r="K177" t="str">
        <f>_xlfn.IFNA(VLOOKUP(C177,merchants!$A$2:$D$41,4,FALSE),"Merchant not found")</f>
        <v>North</v>
      </c>
      <c r="L177">
        <f t="shared" si="6"/>
        <v>46034</v>
      </c>
      <c r="M177">
        <f t="shared" si="7"/>
        <v>0</v>
      </c>
      <c r="N177" t="str">
        <f t="shared" si="8"/>
        <v>Standard</v>
      </c>
      <c r="O177">
        <f>HLOOKUP(F177,fee_lookup!$B$1:$E$2,2,FALSE)</f>
        <v>2E-3</v>
      </c>
    </row>
    <row r="178" spans="1:15" x14ac:dyDescent="0.3">
      <c r="A178" t="s">
        <v>624</v>
      </c>
      <c r="B178" t="s">
        <v>222</v>
      </c>
      <c r="C178" t="s">
        <v>72</v>
      </c>
      <c r="D178" t="s">
        <v>625</v>
      </c>
      <c r="E178" t="s">
        <v>118</v>
      </c>
      <c r="F178" t="s">
        <v>154</v>
      </c>
      <c r="G178" t="s">
        <v>107</v>
      </c>
      <c r="H178" t="s">
        <v>32</v>
      </c>
      <c r="I178" t="str">
        <f>_xlfn.IFNA(VLOOKUP(C178,merchants!$A$2:$D$41,2,FALSE),"Merchant not found")</f>
        <v>Merchant_030</v>
      </c>
      <c r="J178" t="str">
        <f>_xlfn.IFNA(VLOOKUP(C178,merchants!$A$2:$D$41,3,FALSE),"Merchant not found")</f>
        <v>travel</v>
      </c>
      <c r="K178" t="str">
        <f>_xlfn.IFNA(VLOOKUP(C178,merchants!$A$2:$D$41,4,FALSE),"Merchant not found")</f>
        <v>West</v>
      </c>
      <c r="L178">
        <f t="shared" si="6"/>
        <v>46035</v>
      </c>
      <c r="M178">
        <f t="shared" si="7"/>
        <v>0</v>
      </c>
      <c r="N178" t="str">
        <f t="shared" si="8"/>
        <v>Standard</v>
      </c>
      <c r="O178">
        <f>HLOOKUP(F178,fee_lookup!$B$1:$E$2,2,FALSE)</f>
        <v>1.7999999999999999E-2</v>
      </c>
    </row>
    <row r="179" spans="1:15" x14ac:dyDescent="0.3">
      <c r="A179" t="s">
        <v>626</v>
      </c>
      <c r="B179" t="s">
        <v>627</v>
      </c>
      <c r="C179" t="s">
        <v>91</v>
      </c>
      <c r="D179" t="s">
        <v>628</v>
      </c>
      <c r="E179" t="s">
        <v>274</v>
      </c>
      <c r="F179" t="s">
        <v>106</v>
      </c>
      <c r="G179" t="s">
        <v>198</v>
      </c>
      <c r="H179" t="s">
        <v>8</v>
      </c>
      <c r="I179" t="str">
        <f>_xlfn.IFNA(VLOOKUP(C179,merchants!$A$2:$D$41,2,FALSE),"Merchant not found")</f>
        <v>Merchant_039</v>
      </c>
      <c r="J179" t="str">
        <f>_xlfn.IFNA(VLOOKUP(C179,merchants!$A$2:$D$41,3,FALSE),"Merchant not found")</f>
        <v>entertainment</v>
      </c>
      <c r="K179" t="str">
        <f>_xlfn.IFNA(VLOOKUP(C179,merchants!$A$2:$D$41,4,FALSE),"Merchant not found")</f>
        <v>North</v>
      </c>
      <c r="L179">
        <f t="shared" si="6"/>
        <v>46044</v>
      </c>
      <c r="M179">
        <f t="shared" si="7"/>
        <v>0</v>
      </c>
      <c r="N179" t="str">
        <f t="shared" si="8"/>
        <v>Standard</v>
      </c>
      <c r="O179">
        <f>HLOOKUP(F179,fee_lookup!$B$1:$E$2,2,FALSE)</f>
        <v>0.01</v>
      </c>
    </row>
    <row r="180" spans="1:15" x14ac:dyDescent="0.3">
      <c r="A180" t="s">
        <v>629</v>
      </c>
      <c r="B180" t="s">
        <v>630</v>
      </c>
      <c r="C180" t="s">
        <v>87</v>
      </c>
      <c r="D180" t="s">
        <v>631</v>
      </c>
      <c r="E180" t="s">
        <v>105</v>
      </c>
      <c r="F180" t="s">
        <v>154</v>
      </c>
      <c r="G180" t="s">
        <v>107</v>
      </c>
      <c r="H180" t="s">
        <v>64</v>
      </c>
      <c r="I180" t="str">
        <f>_xlfn.IFNA(VLOOKUP(C180,merchants!$A$2:$D$41,2,FALSE),"Merchant not found")</f>
        <v>Merchant_037</v>
      </c>
      <c r="J180" t="str">
        <f>_xlfn.IFNA(VLOOKUP(C180,merchants!$A$2:$D$41,3,FALSE),"Merchant not found")</f>
        <v>entertainment</v>
      </c>
      <c r="K180" t="str">
        <f>_xlfn.IFNA(VLOOKUP(C180,merchants!$A$2:$D$41,4,FALSE),"Merchant not found")</f>
        <v>South</v>
      </c>
      <c r="L180">
        <f t="shared" si="6"/>
        <v>46024</v>
      </c>
      <c r="M180">
        <f t="shared" si="7"/>
        <v>0</v>
      </c>
      <c r="N180" t="str">
        <f t="shared" si="8"/>
        <v>Standard</v>
      </c>
      <c r="O180">
        <f>HLOOKUP(F180,fee_lookup!$B$1:$E$2,2,FALSE)</f>
        <v>1.7999999999999999E-2</v>
      </c>
    </row>
    <row r="181" spans="1:15" x14ac:dyDescent="0.3">
      <c r="A181" t="s">
        <v>632</v>
      </c>
      <c r="B181" t="s">
        <v>498</v>
      </c>
      <c r="C181" t="s">
        <v>39</v>
      </c>
      <c r="D181" t="s">
        <v>633</v>
      </c>
      <c r="E181" t="s">
        <v>227</v>
      </c>
      <c r="F181" t="s">
        <v>113</v>
      </c>
      <c r="G181" t="s">
        <v>107</v>
      </c>
      <c r="H181" t="s">
        <v>70</v>
      </c>
      <c r="I181" t="str">
        <f>_xlfn.IFNA(VLOOKUP(C181,merchants!$A$2:$D$41,2,FALSE),"Merchant not found")</f>
        <v>Merchant_014</v>
      </c>
      <c r="J181" t="str">
        <f>_xlfn.IFNA(VLOOKUP(C181,merchants!$A$2:$D$41,3,FALSE),"Merchant not found")</f>
        <v>grocery</v>
      </c>
      <c r="K181" t="str">
        <f>_xlfn.IFNA(VLOOKUP(C181,merchants!$A$2:$D$41,4,FALSE),"Merchant not found")</f>
        <v>East</v>
      </c>
      <c r="L181">
        <f t="shared" si="6"/>
        <v>46025</v>
      </c>
      <c r="M181">
        <f t="shared" si="7"/>
        <v>0</v>
      </c>
      <c r="N181" t="str">
        <f t="shared" si="8"/>
        <v>Standard</v>
      </c>
      <c r="O181">
        <f>HLOOKUP(F181,fee_lookup!$B$1:$E$2,2,FALSE)</f>
        <v>2E-3</v>
      </c>
    </row>
    <row r="182" spans="1:15" x14ac:dyDescent="0.3">
      <c r="A182" t="s">
        <v>634</v>
      </c>
      <c r="B182" t="s">
        <v>152</v>
      </c>
      <c r="C182" t="s">
        <v>4</v>
      </c>
      <c r="D182" t="s">
        <v>635</v>
      </c>
      <c r="E182" t="s">
        <v>145</v>
      </c>
      <c r="F182" t="s">
        <v>113</v>
      </c>
      <c r="G182" t="s">
        <v>155</v>
      </c>
      <c r="H182" t="s">
        <v>82</v>
      </c>
      <c r="I182" t="str">
        <f>_xlfn.IFNA(VLOOKUP(C182,merchants!$A$2:$D$41,2,FALSE),"Merchant not found")</f>
        <v>Merchant_001</v>
      </c>
      <c r="J182" t="str">
        <f>_xlfn.IFNA(VLOOKUP(C182,merchants!$A$2:$D$41,3,FALSE),"Merchant not found")</f>
        <v>ecommerce</v>
      </c>
      <c r="K182" t="str">
        <f>_xlfn.IFNA(VLOOKUP(C182,merchants!$A$2:$D$41,4,FALSE),"Merchant not found")</f>
        <v>South</v>
      </c>
      <c r="L182">
        <f t="shared" si="6"/>
        <v>46033</v>
      </c>
      <c r="M182">
        <f t="shared" si="7"/>
        <v>0</v>
      </c>
      <c r="N182" t="str">
        <f t="shared" si="8"/>
        <v>Standard</v>
      </c>
      <c r="O182">
        <f>HLOOKUP(F182,fee_lookup!$B$1:$E$2,2,FALSE)</f>
        <v>2E-3</v>
      </c>
    </row>
    <row r="183" spans="1:15" x14ac:dyDescent="0.3">
      <c r="A183" t="s">
        <v>636</v>
      </c>
      <c r="B183" t="s">
        <v>245</v>
      </c>
      <c r="C183" t="s">
        <v>46</v>
      </c>
      <c r="D183" t="s">
        <v>637</v>
      </c>
      <c r="E183" t="s">
        <v>145</v>
      </c>
      <c r="F183" t="s">
        <v>113</v>
      </c>
      <c r="G183" t="s">
        <v>107</v>
      </c>
      <c r="H183" t="s">
        <v>56</v>
      </c>
      <c r="I183" t="str">
        <f>_xlfn.IFNA(VLOOKUP(C183,merchants!$A$2:$D$41,2,FALSE),"Merchant not found")</f>
        <v>Merchant_017</v>
      </c>
      <c r="J183" t="str">
        <f>_xlfn.IFNA(VLOOKUP(C183,merchants!$A$2:$D$41,3,FALSE),"Merchant not found")</f>
        <v>grocery</v>
      </c>
      <c r="K183" t="str">
        <f>_xlfn.IFNA(VLOOKUP(C183,merchants!$A$2:$D$41,4,FALSE),"Merchant not found")</f>
        <v>North</v>
      </c>
      <c r="L183">
        <f t="shared" si="6"/>
        <v>46050</v>
      </c>
      <c r="M183">
        <f t="shared" si="7"/>
        <v>0</v>
      </c>
      <c r="N183" t="str">
        <f t="shared" si="8"/>
        <v>Standard</v>
      </c>
      <c r="O183">
        <f>HLOOKUP(F183,fee_lookup!$B$1:$E$2,2,FALSE)</f>
        <v>2E-3</v>
      </c>
    </row>
    <row r="184" spans="1:15" x14ac:dyDescent="0.3">
      <c r="A184" t="s">
        <v>638</v>
      </c>
      <c r="B184" t="s">
        <v>39</v>
      </c>
      <c r="C184" t="s">
        <v>28</v>
      </c>
      <c r="D184" t="s">
        <v>639</v>
      </c>
      <c r="E184" t="s">
        <v>220</v>
      </c>
      <c r="F184" t="s">
        <v>113</v>
      </c>
      <c r="G184" t="s">
        <v>107</v>
      </c>
      <c r="H184" t="s">
        <v>4</v>
      </c>
      <c r="I184" t="str">
        <f>_xlfn.IFNA(VLOOKUP(C184,merchants!$A$2:$D$41,2,FALSE),"Merchant not found")</f>
        <v>Merchant_009</v>
      </c>
      <c r="J184" t="str">
        <f>_xlfn.IFNA(VLOOKUP(C184,merchants!$A$2:$D$41,3,FALSE),"Merchant not found")</f>
        <v>ecommerce</v>
      </c>
      <c r="K184" t="str">
        <f>_xlfn.IFNA(VLOOKUP(C184,merchants!$A$2:$D$41,4,FALSE),"Merchant not found")</f>
        <v>North</v>
      </c>
      <c r="L184">
        <f t="shared" si="6"/>
        <v>46026</v>
      </c>
      <c r="M184">
        <f t="shared" si="7"/>
        <v>0</v>
      </c>
      <c r="N184" t="str">
        <f t="shared" si="8"/>
        <v>Standard</v>
      </c>
      <c r="O184">
        <f>HLOOKUP(F184,fee_lookup!$B$1:$E$2,2,FALSE)</f>
        <v>2E-3</v>
      </c>
    </row>
    <row r="185" spans="1:15" x14ac:dyDescent="0.3">
      <c r="A185" t="s">
        <v>640</v>
      </c>
      <c r="B185" t="s">
        <v>442</v>
      </c>
      <c r="C185" t="s">
        <v>8</v>
      </c>
      <c r="D185" t="s">
        <v>641</v>
      </c>
      <c r="E185" t="s">
        <v>145</v>
      </c>
      <c r="F185" t="s">
        <v>154</v>
      </c>
      <c r="G185" t="s">
        <v>107</v>
      </c>
      <c r="H185" t="s">
        <v>56</v>
      </c>
      <c r="I185" t="str">
        <f>_xlfn.IFNA(VLOOKUP(C185,merchants!$A$2:$D$41,2,FALSE),"Merchant not found")</f>
        <v>Merchant_002</v>
      </c>
      <c r="J185" t="str">
        <f>_xlfn.IFNA(VLOOKUP(C185,merchants!$A$2:$D$41,3,FALSE),"Merchant not found")</f>
        <v>grocery</v>
      </c>
      <c r="K185" t="str">
        <f>_xlfn.IFNA(VLOOKUP(C185,merchants!$A$2:$D$41,4,FALSE),"Merchant not found")</f>
        <v>West</v>
      </c>
      <c r="L185">
        <f t="shared" si="6"/>
        <v>46034</v>
      </c>
      <c r="M185">
        <f t="shared" si="7"/>
        <v>0</v>
      </c>
      <c r="N185" t="str">
        <f t="shared" si="8"/>
        <v>Standard</v>
      </c>
      <c r="O185">
        <f>HLOOKUP(F185,fee_lookup!$B$1:$E$2,2,FALSE)</f>
        <v>1.7999999999999999E-2</v>
      </c>
    </row>
    <row r="186" spans="1:15" x14ac:dyDescent="0.3">
      <c r="A186" t="s">
        <v>642</v>
      </c>
      <c r="B186" t="s">
        <v>254</v>
      </c>
      <c r="C186" t="s">
        <v>80</v>
      </c>
      <c r="D186" t="s">
        <v>643</v>
      </c>
      <c r="E186" t="s">
        <v>145</v>
      </c>
      <c r="F186" t="s">
        <v>154</v>
      </c>
      <c r="G186" t="s">
        <v>107</v>
      </c>
      <c r="H186" t="s">
        <v>39</v>
      </c>
      <c r="I186" t="str">
        <f>_xlfn.IFNA(VLOOKUP(C186,merchants!$A$2:$D$41,2,FALSE),"Merchant not found")</f>
        <v>Merchant_034</v>
      </c>
      <c r="J186" t="str">
        <f>_xlfn.IFNA(VLOOKUP(C186,merchants!$A$2:$D$41,3,FALSE),"Merchant not found")</f>
        <v>travel</v>
      </c>
      <c r="K186" t="str">
        <f>_xlfn.IFNA(VLOOKUP(C186,merchants!$A$2:$D$41,4,FALSE),"Merchant not found")</f>
        <v>South</v>
      </c>
      <c r="L186">
        <f t="shared" si="6"/>
        <v>46031</v>
      </c>
      <c r="M186">
        <f t="shared" si="7"/>
        <v>0</v>
      </c>
      <c r="N186" t="str">
        <f t="shared" si="8"/>
        <v>Standard</v>
      </c>
      <c r="O186">
        <f>HLOOKUP(F186,fee_lookup!$B$1:$E$2,2,FALSE)</f>
        <v>1.7999999999999999E-2</v>
      </c>
    </row>
    <row r="187" spans="1:15" x14ac:dyDescent="0.3">
      <c r="A187" t="s">
        <v>644</v>
      </c>
      <c r="B187" t="s">
        <v>645</v>
      </c>
      <c r="C187" t="s">
        <v>60</v>
      </c>
      <c r="D187" t="s">
        <v>646</v>
      </c>
      <c r="E187" t="s">
        <v>112</v>
      </c>
      <c r="F187" t="s">
        <v>113</v>
      </c>
      <c r="G187" t="s">
        <v>107</v>
      </c>
      <c r="H187" t="s">
        <v>630</v>
      </c>
      <c r="I187" t="str">
        <f>_xlfn.IFNA(VLOOKUP(C187,merchants!$A$2:$D$41,2,FALSE),"Merchant not found")</f>
        <v>Merchant_024</v>
      </c>
      <c r="J187" t="str">
        <f>_xlfn.IFNA(VLOOKUP(C187,merchants!$A$2:$D$41,3,FALSE),"Merchant not found")</f>
        <v>grocery</v>
      </c>
      <c r="K187" t="str">
        <f>_xlfn.IFNA(VLOOKUP(C187,merchants!$A$2:$D$41,4,FALSE),"Merchant not found")</f>
        <v>North</v>
      </c>
      <c r="L187">
        <f t="shared" si="6"/>
        <v>46046</v>
      </c>
      <c r="M187">
        <f t="shared" si="7"/>
        <v>0</v>
      </c>
      <c r="N187" t="str">
        <f t="shared" si="8"/>
        <v>Standard</v>
      </c>
      <c r="O187">
        <f>HLOOKUP(F187,fee_lookup!$B$1:$E$2,2,FALSE)</f>
        <v>2E-3</v>
      </c>
    </row>
    <row r="188" spans="1:15" x14ac:dyDescent="0.3">
      <c r="A188" t="s">
        <v>647</v>
      </c>
      <c r="B188" t="s">
        <v>648</v>
      </c>
      <c r="C188" t="s">
        <v>41</v>
      </c>
      <c r="D188" t="s">
        <v>649</v>
      </c>
      <c r="E188" t="s">
        <v>220</v>
      </c>
      <c r="F188" t="s">
        <v>106</v>
      </c>
      <c r="G188" t="s">
        <v>107</v>
      </c>
      <c r="H188" t="s">
        <v>208</v>
      </c>
      <c r="I188" t="str">
        <f>_xlfn.IFNA(VLOOKUP(C188,merchants!$A$2:$D$41,2,FALSE),"Merchant not found")</f>
        <v>Merchant_015</v>
      </c>
      <c r="J188" t="str">
        <f>_xlfn.IFNA(VLOOKUP(C188,merchants!$A$2:$D$41,3,FALSE),"Merchant not found")</f>
        <v>travel</v>
      </c>
      <c r="K188" t="str">
        <f>_xlfn.IFNA(VLOOKUP(C188,merchants!$A$2:$D$41,4,FALSE),"Merchant not found")</f>
        <v>North</v>
      </c>
      <c r="L188">
        <f t="shared" si="6"/>
        <v>46041</v>
      </c>
      <c r="M188">
        <f t="shared" si="7"/>
        <v>0</v>
      </c>
      <c r="N188" t="str">
        <f t="shared" si="8"/>
        <v>Standard</v>
      </c>
      <c r="O188">
        <f>HLOOKUP(F188,fee_lookup!$B$1:$E$2,2,FALSE)</f>
        <v>0.01</v>
      </c>
    </row>
    <row r="189" spans="1:15" x14ac:dyDescent="0.3">
      <c r="A189" t="s">
        <v>650</v>
      </c>
      <c r="B189" t="s">
        <v>196</v>
      </c>
      <c r="C189" t="s">
        <v>80</v>
      </c>
      <c r="D189" t="s">
        <v>651</v>
      </c>
      <c r="E189" t="s">
        <v>112</v>
      </c>
      <c r="F189" t="s">
        <v>113</v>
      </c>
      <c r="G189" t="s">
        <v>107</v>
      </c>
      <c r="H189" t="s">
        <v>89</v>
      </c>
      <c r="I189" t="str">
        <f>_xlfn.IFNA(VLOOKUP(C189,merchants!$A$2:$D$41,2,FALSE),"Merchant not found")</f>
        <v>Merchant_034</v>
      </c>
      <c r="J189" t="str">
        <f>_xlfn.IFNA(VLOOKUP(C189,merchants!$A$2:$D$41,3,FALSE),"Merchant not found")</f>
        <v>travel</v>
      </c>
      <c r="K189" t="str">
        <f>_xlfn.IFNA(VLOOKUP(C189,merchants!$A$2:$D$41,4,FALSE),"Merchant not found")</f>
        <v>South</v>
      </c>
      <c r="L189">
        <f t="shared" si="6"/>
        <v>46024</v>
      </c>
      <c r="M189">
        <f t="shared" si="7"/>
        <v>0</v>
      </c>
      <c r="N189" t="str">
        <f t="shared" si="8"/>
        <v>Standard</v>
      </c>
      <c r="O189">
        <f>HLOOKUP(F189,fee_lookup!$B$1:$E$2,2,FALSE)</f>
        <v>2E-3</v>
      </c>
    </row>
    <row r="190" spans="1:15" x14ac:dyDescent="0.3">
      <c r="A190" t="s">
        <v>652</v>
      </c>
      <c r="B190" t="s">
        <v>76</v>
      </c>
      <c r="C190" t="s">
        <v>74</v>
      </c>
      <c r="D190" t="s">
        <v>653</v>
      </c>
      <c r="E190" t="s">
        <v>145</v>
      </c>
      <c r="F190" t="s">
        <v>113</v>
      </c>
      <c r="G190" t="s">
        <v>107</v>
      </c>
      <c r="H190" t="s">
        <v>137</v>
      </c>
      <c r="I190" t="str">
        <f>_xlfn.IFNA(VLOOKUP(C190,merchants!$A$2:$D$41,2,FALSE),"Merchant not found")</f>
        <v>Merchant_031</v>
      </c>
      <c r="J190" t="str">
        <f>_xlfn.IFNA(VLOOKUP(C190,merchants!$A$2:$D$41,3,FALSE),"Merchant not found")</f>
        <v>bill_payment</v>
      </c>
      <c r="K190" t="str">
        <f>_xlfn.IFNA(VLOOKUP(C190,merchants!$A$2:$D$41,4,FALSE),"Merchant not found")</f>
        <v>East</v>
      </c>
      <c r="L190">
        <f t="shared" si="6"/>
        <v>46037</v>
      </c>
      <c r="M190">
        <f t="shared" si="7"/>
        <v>0</v>
      </c>
      <c r="N190" t="str">
        <f t="shared" si="8"/>
        <v>Standard</v>
      </c>
      <c r="O190">
        <f>HLOOKUP(F190,fee_lookup!$B$1:$E$2,2,FALSE)</f>
        <v>2E-3</v>
      </c>
    </row>
    <row r="191" spans="1:15" x14ac:dyDescent="0.3">
      <c r="A191" t="s">
        <v>654</v>
      </c>
      <c r="B191" t="s">
        <v>387</v>
      </c>
      <c r="C191" t="s">
        <v>70</v>
      </c>
      <c r="D191" t="s">
        <v>655</v>
      </c>
      <c r="E191" t="s">
        <v>118</v>
      </c>
      <c r="F191" t="s">
        <v>113</v>
      </c>
      <c r="G191" t="s">
        <v>107</v>
      </c>
      <c r="H191" t="s">
        <v>28</v>
      </c>
      <c r="I191" t="str">
        <f>_xlfn.IFNA(VLOOKUP(C191,merchants!$A$2:$D$41,2,FALSE),"Merchant not found")</f>
        <v>Merchant_029</v>
      </c>
      <c r="J191" t="str">
        <f>_xlfn.IFNA(VLOOKUP(C191,merchants!$A$2:$D$41,3,FALSE),"Merchant not found")</f>
        <v>ecommerce</v>
      </c>
      <c r="K191" t="str">
        <f>_xlfn.IFNA(VLOOKUP(C191,merchants!$A$2:$D$41,4,FALSE),"Merchant not found")</f>
        <v>North</v>
      </c>
      <c r="L191">
        <f t="shared" si="6"/>
        <v>46036</v>
      </c>
      <c r="M191">
        <f t="shared" si="7"/>
        <v>0</v>
      </c>
      <c r="N191" t="str">
        <f t="shared" si="8"/>
        <v>Standard</v>
      </c>
      <c r="O191">
        <f>HLOOKUP(F191,fee_lookup!$B$1:$E$2,2,FALSE)</f>
        <v>2E-3</v>
      </c>
    </row>
    <row r="192" spans="1:15" x14ac:dyDescent="0.3">
      <c r="A192" t="s">
        <v>656</v>
      </c>
      <c r="B192" t="s">
        <v>657</v>
      </c>
      <c r="C192" t="s">
        <v>30</v>
      </c>
      <c r="D192" t="s">
        <v>658</v>
      </c>
      <c r="E192" t="s">
        <v>140</v>
      </c>
      <c r="F192" t="s">
        <v>113</v>
      </c>
      <c r="G192" t="s">
        <v>107</v>
      </c>
      <c r="H192" t="s">
        <v>25</v>
      </c>
      <c r="I192" t="str">
        <f>_xlfn.IFNA(VLOOKUP(C192,merchants!$A$2:$D$41,2,FALSE),"Merchant not found")</f>
        <v>Merchant_010</v>
      </c>
      <c r="J192" t="str">
        <f>_xlfn.IFNA(VLOOKUP(C192,merchants!$A$2:$D$41,3,FALSE),"Merchant not found")</f>
        <v>grocery</v>
      </c>
      <c r="K192" t="str">
        <f>_xlfn.IFNA(VLOOKUP(C192,merchants!$A$2:$D$41,4,FALSE),"Merchant not found")</f>
        <v>West</v>
      </c>
      <c r="L192">
        <f t="shared" si="6"/>
        <v>46051</v>
      </c>
      <c r="M192">
        <f t="shared" si="7"/>
        <v>0</v>
      </c>
      <c r="N192" t="str">
        <f t="shared" si="8"/>
        <v>Standard</v>
      </c>
      <c r="O192">
        <f>HLOOKUP(F192,fee_lookup!$B$1:$E$2,2,FALSE)</f>
        <v>2E-3</v>
      </c>
    </row>
    <row r="193" spans="1:15" x14ac:dyDescent="0.3">
      <c r="A193" t="s">
        <v>659</v>
      </c>
      <c r="B193" t="s">
        <v>660</v>
      </c>
      <c r="C193" t="s">
        <v>89</v>
      </c>
      <c r="D193" t="s">
        <v>661</v>
      </c>
      <c r="E193" t="s">
        <v>118</v>
      </c>
      <c r="F193" t="s">
        <v>122</v>
      </c>
      <c r="G193" t="s">
        <v>107</v>
      </c>
      <c r="H193" t="s">
        <v>176</v>
      </c>
      <c r="I193" t="str">
        <f>_xlfn.IFNA(VLOOKUP(C193,merchants!$A$2:$D$41,2,FALSE),"Merchant not found")</f>
        <v>Merchant_038</v>
      </c>
      <c r="J193" t="str">
        <f>_xlfn.IFNA(VLOOKUP(C193,merchants!$A$2:$D$41,3,FALSE),"Merchant not found")</f>
        <v>grocery</v>
      </c>
      <c r="K193" t="str">
        <f>_xlfn.IFNA(VLOOKUP(C193,merchants!$A$2:$D$41,4,FALSE),"Merchant not found")</f>
        <v>East</v>
      </c>
      <c r="L193">
        <f t="shared" si="6"/>
        <v>46027</v>
      </c>
      <c r="M193">
        <f t="shared" si="7"/>
        <v>0</v>
      </c>
      <c r="N193" t="str">
        <f t="shared" si="8"/>
        <v>Standard</v>
      </c>
      <c r="O193">
        <f>HLOOKUP(F193,fee_lookup!$B$1:$E$2,2,FALSE)</f>
        <v>1.2E-2</v>
      </c>
    </row>
    <row r="194" spans="1:15" x14ac:dyDescent="0.3">
      <c r="A194" t="s">
        <v>662</v>
      </c>
      <c r="B194" t="s">
        <v>152</v>
      </c>
      <c r="C194" t="s">
        <v>80</v>
      </c>
      <c r="D194" t="s">
        <v>663</v>
      </c>
      <c r="E194" t="s">
        <v>105</v>
      </c>
      <c r="F194" t="s">
        <v>113</v>
      </c>
      <c r="G194" t="s">
        <v>107</v>
      </c>
      <c r="H194" t="s">
        <v>87</v>
      </c>
      <c r="I194" t="str">
        <f>_xlfn.IFNA(VLOOKUP(C194,merchants!$A$2:$D$41,2,FALSE),"Merchant not found")</f>
        <v>Merchant_034</v>
      </c>
      <c r="J194" t="str">
        <f>_xlfn.IFNA(VLOOKUP(C194,merchants!$A$2:$D$41,3,FALSE),"Merchant not found")</f>
        <v>travel</v>
      </c>
      <c r="K194" t="str">
        <f>_xlfn.IFNA(VLOOKUP(C194,merchants!$A$2:$D$41,4,FALSE),"Merchant not found")</f>
        <v>South</v>
      </c>
      <c r="L194">
        <f t="shared" ref="L194:L257" si="9">DATE(LEFT(D194,4),MID(D194,6,2),MID(D194,9,2))</f>
        <v>46045</v>
      </c>
      <c r="M194">
        <f t="shared" ref="M194:M257" si="10">SUMIFS($E:$E,$C:$C,C194,$L:$L,L194)</f>
        <v>0</v>
      </c>
      <c r="N194" t="str">
        <f t="shared" ref="N194:N257" si="11">IF(AND(M194&gt;5000,K194&lt;&gt;"East"),"High-Value Merchant Day","Standard")</f>
        <v>Standard</v>
      </c>
      <c r="O194">
        <f>HLOOKUP(F194,fee_lookup!$B$1:$E$2,2,FALSE)</f>
        <v>2E-3</v>
      </c>
    </row>
    <row r="195" spans="1:15" x14ac:dyDescent="0.3">
      <c r="A195" t="s">
        <v>664</v>
      </c>
      <c r="B195" t="s">
        <v>665</v>
      </c>
      <c r="C195" t="s">
        <v>23</v>
      </c>
      <c r="D195" t="s">
        <v>666</v>
      </c>
      <c r="E195" t="s">
        <v>227</v>
      </c>
      <c r="F195" t="s">
        <v>122</v>
      </c>
      <c r="G195" t="s">
        <v>107</v>
      </c>
      <c r="H195" t="s">
        <v>385</v>
      </c>
      <c r="I195" t="str">
        <f>_xlfn.IFNA(VLOOKUP(C195,merchants!$A$2:$D$41,2,FALSE),"Merchant not found")</f>
        <v>Merchant_007</v>
      </c>
      <c r="J195" t="str">
        <f>_xlfn.IFNA(VLOOKUP(C195,merchants!$A$2:$D$41,3,FALSE),"Merchant not found")</f>
        <v>food_delivery</v>
      </c>
      <c r="K195" t="str">
        <f>_xlfn.IFNA(VLOOKUP(C195,merchants!$A$2:$D$41,4,FALSE),"Merchant not found")</f>
        <v>East</v>
      </c>
      <c r="L195">
        <f t="shared" si="9"/>
        <v>46037</v>
      </c>
      <c r="M195">
        <f t="shared" si="10"/>
        <v>0</v>
      </c>
      <c r="N195" t="str">
        <f t="shared" si="11"/>
        <v>Standard</v>
      </c>
      <c r="O195">
        <f>HLOOKUP(F195,fee_lookup!$B$1:$E$2,2,FALSE)</f>
        <v>1.2E-2</v>
      </c>
    </row>
    <row r="196" spans="1:15" x14ac:dyDescent="0.3">
      <c r="A196" t="s">
        <v>667</v>
      </c>
      <c r="B196" t="s">
        <v>479</v>
      </c>
      <c r="C196" t="s">
        <v>39</v>
      </c>
      <c r="D196" t="s">
        <v>575</v>
      </c>
      <c r="E196" t="s">
        <v>127</v>
      </c>
      <c r="F196" t="s">
        <v>106</v>
      </c>
      <c r="G196" t="s">
        <v>107</v>
      </c>
      <c r="H196" t="s">
        <v>187</v>
      </c>
      <c r="I196" t="str">
        <f>_xlfn.IFNA(VLOOKUP(C196,merchants!$A$2:$D$41,2,FALSE),"Merchant not found")</f>
        <v>Merchant_014</v>
      </c>
      <c r="J196" t="str">
        <f>_xlfn.IFNA(VLOOKUP(C196,merchants!$A$2:$D$41,3,FALSE),"Merchant not found")</f>
        <v>grocery</v>
      </c>
      <c r="K196" t="str">
        <f>_xlfn.IFNA(VLOOKUP(C196,merchants!$A$2:$D$41,4,FALSE),"Merchant not found")</f>
        <v>East</v>
      </c>
      <c r="L196">
        <f t="shared" si="9"/>
        <v>46026</v>
      </c>
      <c r="M196">
        <f t="shared" si="10"/>
        <v>0</v>
      </c>
      <c r="N196" t="str">
        <f t="shared" si="11"/>
        <v>Standard</v>
      </c>
      <c r="O196">
        <f>HLOOKUP(F196,fee_lookup!$B$1:$E$2,2,FALSE)</f>
        <v>0.01</v>
      </c>
    </row>
    <row r="197" spans="1:15" x14ac:dyDescent="0.3">
      <c r="A197" t="s">
        <v>668</v>
      </c>
      <c r="B197" t="s">
        <v>587</v>
      </c>
      <c r="C197" t="s">
        <v>72</v>
      </c>
      <c r="D197" t="s">
        <v>669</v>
      </c>
      <c r="E197" t="s">
        <v>112</v>
      </c>
      <c r="F197" t="s">
        <v>113</v>
      </c>
      <c r="G197" t="s">
        <v>107</v>
      </c>
      <c r="H197" t="s">
        <v>137</v>
      </c>
      <c r="I197" t="str">
        <f>_xlfn.IFNA(VLOOKUP(C197,merchants!$A$2:$D$41,2,FALSE),"Merchant not found")</f>
        <v>Merchant_030</v>
      </c>
      <c r="J197" t="str">
        <f>_xlfn.IFNA(VLOOKUP(C197,merchants!$A$2:$D$41,3,FALSE),"Merchant not found")</f>
        <v>travel</v>
      </c>
      <c r="K197" t="str">
        <f>_xlfn.IFNA(VLOOKUP(C197,merchants!$A$2:$D$41,4,FALSE),"Merchant not found")</f>
        <v>West</v>
      </c>
      <c r="L197">
        <f t="shared" si="9"/>
        <v>46037</v>
      </c>
      <c r="M197">
        <f t="shared" si="10"/>
        <v>0</v>
      </c>
      <c r="N197" t="str">
        <f t="shared" si="11"/>
        <v>Standard</v>
      </c>
      <c r="O197">
        <f>HLOOKUP(F197,fee_lookup!$B$1:$E$2,2,FALSE)</f>
        <v>2E-3</v>
      </c>
    </row>
    <row r="198" spans="1:15" x14ac:dyDescent="0.3">
      <c r="A198" t="s">
        <v>670</v>
      </c>
      <c r="B198" t="s">
        <v>671</v>
      </c>
      <c r="C198" t="s">
        <v>68</v>
      </c>
      <c r="D198" t="s">
        <v>672</v>
      </c>
      <c r="E198" t="s">
        <v>112</v>
      </c>
      <c r="F198" t="s">
        <v>113</v>
      </c>
      <c r="G198" t="s">
        <v>107</v>
      </c>
      <c r="H198" t="s">
        <v>93</v>
      </c>
      <c r="I198" t="str">
        <f>_xlfn.IFNA(VLOOKUP(C198,merchants!$A$2:$D$41,2,FALSE),"Merchant not found")</f>
        <v>Merchant_028</v>
      </c>
      <c r="J198" t="str">
        <f>_xlfn.IFNA(VLOOKUP(C198,merchants!$A$2:$D$41,3,FALSE),"Merchant not found")</f>
        <v>ecommerce</v>
      </c>
      <c r="K198" t="str">
        <f>_xlfn.IFNA(VLOOKUP(C198,merchants!$A$2:$D$41,4,FALSE),"Merchant not found")</f>
        <v>South</v>
      </c>
      <c r="L198">
        <f t="shared" si="9"/>
        <v>46036</v>
      </c>
      <c r="M198">
        <f t="shared" si="10"/>
        <v>0</v>
      </c>
      <c r="N198" t="str">
        <f t="shared" si="11"/>
        <v>Standard</v>
      </c>
      <c r="O198">
        <f>HLOOKUP(F198,fee_lookup!$B$1:$E$2,2,FALSE)</f>
        <v>2E-3</v>
      </c>
    </row>
    <row r="199" spans="1:15" x14ac:dyDescent="0.3">
      <c r="A199" t="s">
        <v>673</v>
      </c>
      <c r="B199" t="s">
        <v>114</v>
      </c>
      <c r="C199" t="s">
        <v>74</v>
      </c>
      <c r="D199" t="s">
        <v>674</v>
      </c>
      <c r="E199" t="s">
        <v>127</v>
      </c>
      <c r="F199" t="s">
        <v>113</v>
      </c>
      <c r="G199" t="s">
        <v>107</v>
      </c>
      <c r="H199" t="s">
        <v>25</v>
      </c>
      <c r="I199" t="str">
        <f>_xlfn.IFNA(VLOOKUP(C199,merchants!$A$2:$D$41,2,FALSE),"Merchant not found")</f>
        <v>Merchant_031</v>
      </c>
      <c r="J199" t="str">
        <f>_xlfn.IFNA(VLOOKUP(C199,merchants!$A$2:$D$41,3,FALSE),"Merchant not found")</f>
        <v>bill_payment</v>
      </c>
      <c r="K199" t="str">
        <f>_xlfn.IFNA(VLOOKUP(C199,merchants!$A$2:$D$41,4,FALSE),"Merchant not found")</f>
        <v>East</v>
      </c>
      <c r="L199">
        <f t="shared" si="9"/>
        <v>46044</v>
      </c>
      <c r="M199">
        <f t="shared" si="10"/>
        <v>0</v>
      </c>
      <c r="N199" t="str">
        <f t="shared" si="11"/>
        <v>Standard</v>
      </c>
      <c r="O199">
        <f>HLOOKUP(F199,fee_lookup!$B$1:$E$2,2,FALSE)</f>
        <v>2E-3</v>
      </c>
    </row>
    <row r="200" spans="1:15" x14ac:dyDescent="0.3">
      <c r="A200" t="s">
        <v>675</v>
      </c>
      <c r="B200" t="s">
        <v>676</v>
      </c>
      <c r="C200" t="s">
        <v>23</v>
      </c>
      <c r="D200" t="s">
        <v>677</v>
      </c>
      <c r="E200" t="s">
        <v>227</v>
      </c>
      <c r="F200" t="s">
        <v>106</v>
      </c>
      <c r="G200" t="s">
        <v>107</v>
      </c>
      <c r="H200" t="s">
        <v>367</v>
      </c>
      <c r="I200" t="str">
        <f>_xlfn.IFNA(VLOOKUP(C200,merchants!$A$2:$D$41,2,FALSE),"Merchant not found")</f>
        <v>Merchant_007</v>
      </c>
      <c r="J200" t="str">
        <f>_xlfn.IFNA(VLOOKUP(C200,merchants!$A$2:$D$41,3,FALSE),"Merchant not found")</f>
        <v>food_delivery</v>
      </c>
      <c r="K200" t="str">
        <f>_xlfn.IFNA(VLOOKUP(C200,merchants!$A$2:$D$41,4,FALSE),"Merchant not found")</f>
        <v>East</v>
      </c>
      <c r="L200">
        <f t="shared" si="9"/>
        <v>46025</v>
      </c>
      <c r="M200">
        <f t="shared" si="10"/>
        <v>0</v>
      </c>
      <c r="N200" t="str">
        <f t="shared" si="11"/>
        <v>Standard</v>
      </c>
      <c r="O200">
        <f>HLOOKUP(F200,fee_lookup!$B$1:$E$2,2,FALSE)</f>
        <v>0.01</v>
      </c>
    </row>
    <row r="201" spans="1:15" x14ac:dyDescent="0.3">
      <c r="A201" t="s">
        <v>678</v>
      </c>
      <c r="B201" t="s">
        <v>679</v>
      </c>
      <c r="C201" t="s">
        <v>84</v>
      </c>
      <c r="D201" t="s">
        <v>680</v>
      </c>
      <c r="E201" t="s">
        <v>127</v>
      </c>
      <c r="F201" t="s">
        <v>113</v>
      </c>
      <c r="G201" t="s">
        <v>107</v>
      </c>
      <c r="H201" t="s">
        <v>23</v>
      </c>
      <c r="I201" t="str">
        <f>_xlfn.IFNA(VLOOKUP(C201,merchants!$A$2:$D$41,2,FALSE),"Merchant not found")</f>
        <v>Merchant_036</v>
      </c>
      <c r="J201" t="str">
        <f>_xlfn.IFNA(VLOOKUP(C201,merchants!$A$2:$D$41,3,FALSE),"Merchant not found")</f>
        <v>entertainment</v>
      </c>
      <c r="K201" t="str">
        <f>_xlfn.IFNA(VLOOKUP(C201,merchants!$A$2:$D$41,4,FALSE),"Merchant not found")</f>
        <v>East</v>
      </c>
      <c r="L201">
        <f t="shared" si="9"/>
        <v>46046</v>
      </c>
      <c r="M201">
        <f t="shared" si="10"/>
        <v>0</v>
      </c>
      <c r="N201" t="str">
        <f t="shared" si="11"/>
        <v>Standard</v>
      </c>
      <c r="O201">
        <f>HLOOKUP(F201,fee_lookup!$B$1:$E$2,2,FALSE)</f>
        <v>2E-3</v>
      </c>
    </row>
    <row r="202" spans="1:15" x14ac:dyDescent="0.3">
      <c r="A202" t="s">
        <v>681</v>
      </c>
      <c r="B202" t="s">
        <v>682</v>
      </c>
      <c r="C202" t="s">
        <v>25</v>
      </c>
      <c r="D202" t="s">
        <v>683</v>
      </c>
      <c r="E202" t="s">
        <v>127</v>
      </c>
      <c r="F202" t="s">
        <v>113</v>
      </c>
      <c r="G202" t="s">
        <v>107</v>
      </c>
      <c r="H202" t="s">
        <v>415</v>
      </c>
      <c r="I202" t="str">
        <f>_xlfn.IFNA(VLOOKUP(C202,merchants!$A$2:$D$41,2,FALSE),"Merchant not found")</f>
        <v>Merchant_008</v>
      </c>
      <c r="J202" t="str">
        <f>_xlfn.IFNA(VLOOKUP(C202,merchants!$A$2:$D$41,3,FALSE),"Merchant not found")</f>
        <v>food_delivery</v>
      </c>
      <c r="K202" t="str">
        <f>_xlfn.IFNA(VLOOKUP(C202,merchants!$A$2:$D$41,4,FALSE),"Merchant not found")</f>
        <v>North</v>
      </c>
      <c r="L202">
        <f t="shared" si="9"/>
        <v>46041</v>
      </c>
      <c r="M202">
        <f t="shared" si="10"/>
        <v>0</v>
      </c>
      <c r="N202" t="str">
        <f t="shared" si="11"/>
        <v>Standard</v>
      </c>
      <c r="O202">
        <f>HLOOKUP(F202,fee_lookup!$B$1:$E$2,2,FALSE)</f>
        <v>2E-3</v>
      </c>
    </row>
    <row r="203" spans="1:15" x14ac:dyDescent="0.3">
      <c r="A203" t="s">
        <v>684</v>
      </c>
      <c r="B203" t="s">
        <v>685</v>
      </c>
      <c r="C203" t="s">
        <v>15</v>
      </c>
      <c r="D203" t="s">
        <v>686</v>
      </c>
      <c r="E203" t="s">
        <v>112</v>
      </c>
      <c r="F203" t="s">
        <v>113</v>
      </c>
      <c r="G203" t="s">
        <v>107</v>
      </c>
      <c r="H203" t="s">
        <v>84</v>
      </c>
      <c r="I203" t="str">
        <f>_xlfn.IFNA(VLOOKUP(C203,merchants!$A$2:$D$41,2,FALSE),"Merchant not found")</f>
        <v>Merchant_004</v>
      </c>
      <c r="J203" t="str">
        <f>_xlfn.IFNA(VLOOKUP(C203,merchants!$A$2:$D$41,3,FALSE),"Merchant not found")</f>
        <v>ecommerce</v>
      </c>
      <c r="K203" t="str">
        <f>_xlfn.IFNA(VLOOKUP(C203,merchants!$A$2:$D$41,4,FALSE),"Merchant not found")</f>
        <v>East</v>
      </c>
      <c r="L203">
        <f t="shared" si="9"/>
        <v>46034</v>
      </c>
      <c r="M203">
        <f t="shared" si="10"/>
        <v>0</v>
      </c>
      <c r="N203" t="str">
        <f t="shared" si="11"/>
        <v>Standard</v>
      </c>
      <c r="O203">
        <f>HLOOKUP(F203,fee_lookup!$B$1:$E$2,2,FALSE)</f>
        <v>2E-3</v>
      </c>
    </row>
    <row r="204" spans="1:15" x14ac:dyDescent="0.3">
      <c r="A204" t="s">
        <v>687</v>
      </c>
      <c r="B204" t="s">
        <v>688</v>
      </c>
      <c r="C204" t="s">
        <v>87</v>
      </c>
      <c r="D204" t="s">
        <v>689</v>
      </c>
      <c r="E204" t="s">
        <v>227</v>
      </c>
      <c r="F204" t="s">
        <v>113</v>
      </c>
      <c r="G204" t="s">
        <v>107</v>
      </c>
      <c r="H204" t="s">
        <v>323</v>
      </c>
      <c r="I204" t="str">
        <f>_xlfn.IFNA(VLOOKUP(C204,merchants!$A$2:$D$41,2,FALSE),"Merchant not found")</f>
        <v>Merchant_037</v>
      </c>
      <c r="J204" t="str">
        <f>_xlfn.IFNA(VLOOKUP(C204,merchants!$A$2:$D$41,3,FALSE),"Merchant not found")</f>
        <v>entertainment</v>
      </c>
      <c r="K204" t="str">
        <f>_xlfn.IFNA(VLOOKUP(C204,merchants!$A$2:$D$41,4,FALSE),"Merchant not found")</f>
        <v>South</v>
      </c>
      <c r="L204">
        <f t="shared" si="9"/>
        <v>46042</v>
      </c>
      <c r="M204">
        <f t="shared" si="10"/>
        <v>0</v>
      </c>
      <c r="N204" t="str">
        <f t="shared" si="11"/>
        <v>Standard</v>
      </c>
      <c r="O204">
        <f>HLOOKUP(F204,fee_lookup!$B$1:$E$2,2,FALSE)</f>
        <v>2E-3</v>
      </c>
    </row>
    <row r="205" spans="1:15" x14ac:dyDescent="0.3">
      <c r="A205" t="s">
        <v>690</v>
      </c>
      <c r="B205" t="s">
        <v>691</v>
      </c>
      <c r="C205" t="s">
        <v>41</v>
      </c>
      <c r="D205" t="s">
        <v>692</v>
      </c>
      <c r="E205" t="s">
        <v>112</v>
      </c>
      <c r="F205" t="s">
        <v>154</v>
      </c>
      <c r="G205" t="s">
        <v>107</v>
      </c>
      <c r="H205" t="s">
        <v>36</v>
      </c>
      <c r="I205" t="str">
        <f>_xlfn.IFNA(VLOOKUP(C205,merchants!$A$2:$D$41,2,FALSE),"Merchant not found")</f>
        <v>Merchant_015</v>
      </c>
      <c r="J205" t="str">
        <f>_xlfn.IFNA(VLOOKUP(C205,merchants!$A$2:$D$41,3,FALSE),"Merchant not found")</f>
        <v>travel</v>
      </c>
      <c r="K205" t="str">
        <f>_xlfn.IFNA(VLOOKUP(C205,merchants!$A$2:$D$41,4,FALSE),"Merchant not found")</f>
        <v>North</v>
      </c>
      <c r="L205">
        <f t="shared" si="9"/>
        <v>46029</v>
      </c>
      <c r="M205">
        <f t="shared" si="10"/>
        <v>0</v>
      </c>
      <c r="N205" t="str">
        <f t="shared" si="11"/>
        <v>Standard</v>
      </c>
      <c r="O205">
        <f>HLOOKUP(F205,fee_lookup!$B$1:$E$2,2,FALSE)</f>
        <v>1.7999999999999999E-2</v>
      </c>
    </row>
    <row r="206" spans="1:15" x14ac:dyDescent="0.3">
      <c r="A206" t="s">
        <v>693</v>
      </c>
      <c r="B206" t="s">
        <v>191</v>
      </c>
      <c r="C206" t="s">
        <v>48</v>
      </c>
      <c r="D206" t="s">
        <v>694</v>
      </c>
      <c r="E206" t="s">
        <v>112</v>
      </c>
      <c r="F206" t="s">
        <v>154</v>
      </c>
      <c r="G206" t="s">
        <v>107</v>
      </c>
      <c r="H206" t="s">
        <v>508</v>
      </c>
      <c r="I206" t="str">
        <f>_xlfn.IFNA(VLOOKUP(C206,merchants!$A$2:$D$41,2,FALSE),"Merchant not found")</f>
        <v>Merchant_018</v>
      </c>
      <c r="J206" t="str">
        <f>_xlfn.IFNA(VLOOKUP(C206,merchants!$A$2:$D$41,3,FALSE),"Merchant not found")</f>
        <v>grocery</v>
      </c>
      <c r="K206" t="str">
        <f>_xlfn.IFNA(VLOOKUP(C206,merchants!$A$2:$D$41,4,FALSE),"Merchant not found")</f>
        <v>West</v>
      </c>
      <c r="L206">
        <f t="shared" si="9"/>
        <v>46034</v>
      </c>
      <c r="M206">
        <f t="shared" si="10"/>
        <v>0</v>
      </c>
      <c r="N206" t="str">
        <f t="shared" si="11"/>
        <v>Standard</v>
      </c>
      <c r="O206">
        <f>HLOOKUP(F206,fee_lookup!$B$1:$E$2,2,FALSE)</f>
        <v>1.7999999999999999E-2</v>
      </c>
    </row>
    <row r="207" spans="1:15" x14ac:dyDescent="0.3">
      <c r="A207" t="s">
        <v>695</v>
      </c>
      <c r="B207" t="s">
        <v>602</v>
      </c>
      <c r="C207" t="s">
        <v>93</v>
      </c>
      <c r="D207" t="s">
        <v>696</v>
      </c>
      <c r="E207" t="s">
        <v>112</v>
      </c>
      <c r="F207" t="s">
        <v>113</v>
      </c>
      <c r="G207" t="s">
        <v>155</v>
      </c>
      <c r="H207" t="s">
        <v>208</v>
      </c>
      <c r="I207" t="str">
        <f>_xlfn.IFNA(VLOOKUP(C207,merchants!$A$2:$D$41,2,FALSE),"Merchant not found")</f>
        <v>Merchant_040</v>
      </c>
      <c r="J207" t="str">
        <f>_xlfn.IFNA(VLOOKUP(C207,merchants!$A$2:$D$41,3,FALSE),"Merchant not found")</f>
        <v>entertainment</v>
      </c>
      <c r="K207" t="str">
        <f>_xlfn.IFNA(VLOOKUP(C207,merchants!$A$2:$D$41,4,FALSE),"Merchant not found")</f>
        <v>South</v>
      </c>
      <c r="L207">
        <f t="shared" si="9"/>
        <v>46030</v>
      </c>
      <c r="M207">
        <f t="shared" si="10"/>
        <v>0</v>
      </c>
      <c r="N207" t="str">
        <f t="shared" si="11"/>
        <v>Standard</v>
      </c>
      <c r="O207">
        <f>HLOOKUP(F207,fee_lookup!$B$1:$E$2,2,FALSE)</f>
        <v>2E-3</v>
      </c>
    </row>
    <row r="208" spans="1:15" x14ac:dyDescent="0.3">
      <c r="A208" t="s">
        <v>697</v>
      </c>
      <c r="B208" t="s">
        <v>39</v>
      </c>
      <c r="C208" t="s">
        <v>91</v>
      </c>
      <c r="D208" t="s">
        <v>698</v>
      </c>
      <c r="E208" t="s">
        <v>140</v>
      </c>
      <c r="F208" t="s">
        <v>113</v>
      </c>
      <c r="G208" t="s">
        <v>107</v>
      </c>
      <c r="H208" t="s">
        <v>425</v>
      </c>
      <c r="I208" t="str">
        <f>_xlfn.IFNA(VLOOKUP(C208,merchants!$A$2:$D$41,2,FALSE),"Merchant not found")</f>
        <v>Merchant_039</v>
      </c>
      <c r="J208" t="str">
        <f>_xlfn.IFNA(VLOOKUP(C208,merchants!$A$2:$D$41,3,FALSE),"Merchant not found")</f>
        <v>entertainment</v>
      </c>
      <c r="K208" t="str">
        <f>_xlfn.IFNA(VLOOKUP(C208,merchants!$A$2:$D$41,4,FALSE),"Merchant not found")</f>
        <v>North</v>
      </c>
      <c r="L208">
        <f t="shared" si="9"/>
        <v>46044</v>
      </c>
      <c r="M208">
        <f t="shared" si="10"/>
        <v>0</v>
      </c>
      <c r="N208" t="str">
        <f t="shared" si="11"/>
        <v>Standard</v>
      </c>
      <c r="O208">
        <f>HLOOKUP(F208,fee_lookup!$B$1:$E$2,2,FALSE)</f>
        <v>2E-3</v>
      </c>
    </row>
    <row r="209" spans="1:15" x14ac:dyDescent="0.3">
      <c r="A209" t="s">
        <v>699</v>
      </c>
      <c r="B209" t="s">
        <v>41</v>
      </c>
      <c r="C209" t="s">
        <v>34</v>
      </c>
      <c r="D209" t="s">
        <v>700</v>
      </c>
      <c r="E209" t="s">
        <v>227</v>
      </c>
      <c r="F209" t="s">
        <v>113</v>
      </c>
      <c r="G209" t="s">
        <v>107</v>
      </c>
      <c r="H209" t="s">
        <v>80</v>
      </c>
      <c r="I209" t="str">
        <f>_xlfn.IFNA(VLOOKUP(C209,merchants!$A$2:$D$41,2,FALSE),"Merchant not found")</f>
        <v>Merchant_012</v>
      </c>
      <c r="J209" t="str">
        <f>_xlfn.IFNA(VLOOKUP(C209,merchants!$A$2:$D$41,3,FALSE),"Merchant not found")</f>
        <v>ecommerce</v>
      </c>
      <c r="K209" t="str">
        <f>_xlfn.IFNA(VLOOKUP(C209,merchants!$A$2:$D$41,4,FALSE),"Merchant not found")</f>
        <v>East</v>
      </c>
      <c r="L209">
        <f t="shared" si="9"/>
        <v>46049</v>
      </c>
      <c r="M209">
        <f t="shared" si="10"/>
        <v>0</v>
      </c>
      <c r="N209" t="str">
        <f t="shared" si="11"/>
        <v>Standard</v>
      </c>
      <c r="O209">
        <f>HLOOKUP(F209,fee_lookup!$B$1:$E$2,2,FALSE)</f>
        <v>2E-3</v>
      </c>
    </row>
    <row r="210" spans="1:15" x14ac:dyDescent="0.3">
      <c r="A210" t="s">
        <v>701</v>
      </c>
      <c r="B210" t="s">
        <v>587</v>
      </c>
      <c r="C210" t="s">
        <v>58</v>
      </c>
      <c r="D210" t="s">
        <v>702</v>
      </c>
      <c r="E210" t="s">
        <v>227</v>
      </c>
      <c r="F210" t="s">
        <v>113</v>
      </c>
      <c r="G210" t="s">
        <v>107</v>
      </c>
      <c r="H210" t="s">
        <v>496</v>
      </c>
      <c r="I210" t="str">
        <f>_xlfn.IFNA(VLOOKUP(C210,merchants!$A$2:$D$41,2,FALSE),"Merchant not found")</f>
        <v>Merchant_023</v>
      </c>
      <c r="J210" t="str">
        <f>_xlfn.IFNA(VLOOKUP(C210,merchants!$A$2:$D$41,3,FALSE),"Merchant not found")</f>
        <v>travel</v>
      </c>
      <c r="K210" t="str">
        <f>_xlfn.IFNA(VLOOKUP(C210,merchants!$A$2:$D$41,4,FALSE),"Merchant not found")</f>
        <v>North</v>
      </c>
      <c r="L210">
        <f t="shared" si="9"/>
        <v>46045</v>
      </c>
      <c r="M210">
        <f t="shared" si="10"/>
        <v>0</v>
      </c>
      <c r="N210" t="str">
        <f t="shared" si="11"/>
        <v>Standard</v>
      </c>
      <c r="O210">
        <f>HLOOKUP(F210,fee_lookup!$B$1:$E$2,2,FALSE)</f>
        <v>2E-3</v>
      </c>
    </row>
    <row r="211" spans="1:15" x14ac:dyDescent="0.3">
      <c r="A211" t="s">
        <v>703</v>
      </c>
      <c r="B211" t="s">
        <v>704</v>
      </c>
      <c r="C211" t="s">
        <v>64</v>
      </c>
      <c r="D211" t="s">
        <v>705</v>
      </c>
      <c r="E211" t="s">
        <v>112</v>
      </c>
      <c r="F211" t="s">
        <v>113</v>
      </c>
      <c r="G211" t="s">
        <v>107</v>
      </c>
      <c r="H211" t="s">
        <v>25</v>
      </c>
      <c r="I211" t="str">
        <f>_xlfn.IFNA(VLOOKUP(C211,merchants!$A$2:$D$41,2,FALSE),"Merchant not found")</f>
        <v>Merchant_026</v>
      </c>
      <c r="J211" t="str">
        <f>_xlfn.IFNA(VLOOKUP(C211,merchants!$A$2:$D$41,3,FALSE),"Merchant not found")</f>
        <v>food_delivery</v>
      </c>
      <c r="K211" t="str">
        <f>_xlfn.IFNA(VLOOKUP(C211,merchants!$A$2:$D$41,4,FALSE),"Merchant not found")</f>
        <v>East</v>
      </c>
      <c r="L211">
        <f t="shared" si="9"/>
        <v>46028</v>
      </c>
      <c r="M211">
        <f t="shared" si="10"/>
        <v>0</v>
      </c>
      <c r="N211" t="str">
        <f t="shared" si="11"/>
        <v>Standard</v>
      </c>
      <c r="O211">
        <f>HLOOKUP(F211,fee_lookup!$B$1:$E$2,2,FALSE)</f>
        <v>2E-3</v>
      </c>
    </row>
    <row r="212" spans="1:15" x14ac:dyDescent="0.3">
      <c r="A212" t="s">
        <v>706</v>
      </c>
      <c r="B212" t="s">
        <v>43</v>
      </c>
      <c r="C212" t="s">
        <v>20</v>
      </c>
      <c r="D212" t="s">
        <v>707</v>
      </c>
      <c r="E212" t="s">
        <v>118</v>
      </c>
      <c r="F212" t="s">
        <v>113</v>
      </c>
      <c r="G212" t="s">
        <v>107</v>
      </c>
      <c r="H212" t="s">
        <v>367</v>
      </c>
      <c r="I212" t="str">
        <f>_xlfn.IFNA(VLOOKUP(C212,merchants!$A$2:$D$41,2,FALSE),"Merchant not found")</f>
        <v>Merchant_006</v>
      </c>
      <c r="J212" t="str">
        <f>_xlfn.IFNA(VLOOKUP(C212,merchants!$A$2:$D$41,3,FALSE),"Merchant not found")</f>
        <v>food_delivery</v>
      </c>
      <c r="K212" t="str">
        <f>_xlfn.IFNA(VLOOKUP(C212,merchants!$A$2:$D$41,4,FALSE),"Merchant not found")</f>
        <v>South</v>
      </c>
      <c r="L212">
        <f t="shared" si="9"/>
        <v>46027</v>
      </c>
      <c r="M212">
        <f t="shared" si="10"/>
        <v>0</v>
      </c>
      <c r="N212" t="str">
        <f t="shared" si="11"/>
        <v>Standard</v>
      </c>
      <c r="O212">
        <f>HLOOKUP(F212,fee_lookup!$B$1:$E$2,2,FALSE)</f>
        <v>2E-3</v>
      </c>
    </row>
    <row r="213" spans="1:15" x14ac:dyDescent="0.3">
      <c r="A213" t="s">
        <v>708</v>
      </c>
      <c r="B213" t="s">
        <v>709</v>
      </c>
      <c r="C213" t="s">
        <v>72</v>
      </c>
      <c r="D213" t="s">
        <v>710</v>
      </c>
      <c r="E213" t="s">
        <v>112</v>
      </c>
      <c r="F213" t="s">
        <v>113</v>
      </c>
      <c r="G213" t="s">
        <v>107</v>
      </c>
      <c r="H213" t="s">
        <v>341</v>
      </c>
      <c r="I213" t="str">
        <f>_xlfn.IFNA(VLOOKUP(C213,merchants!$A$2:$D$41,2,FALSE),"Merchant not found")</f>
        <v>Merchant_030</v>
      </c>
      <c r="J213" t="str">
        <f>_xlfn.IFNA(VLOOKUP(C213,merchants!$A$2:$D$41,3,FALSE),"Merchant not found")</f>
        <v>travel</v>
      </c>
      <c r="K213" t="str">
        <f>_xlfn.IFNA(VLOOKUP(C213,merchants!$A$2:$D$41,4,FALSE),"Merchant not found")</f>
        <v>West</v>
      </c>
      <c r="L213">
        <f t="shared" si="9"/>
        <v>46039</v>
      </c>
      <c r="M213">
        <f t="shared" si="10"/>
        <v>0</v>
      </c>
      <c r="N213" t="str">
        <f t="shared" si="11"/>
        <v>Standard</v>
      </c>
      <c r="O213">
        <f>HLOOKUP(F213,fee_lookup!$B$1:$E$2,2,FALSE)</f>
        <v>2E-3</v>
      </c>
    </row>
    <row r="214" spans="1:15" x14ac:dyDescent="0.3">
      <c r="A214" t="s">
        <v>711</v>
      </c>
      <c r="B214" t="s">
        <v>343</v>
      </c>
      <c r="C214" t="s">
        <v>87</v>
      </c>
      <c r="D214" t="s">
        <v>712</v>
      </c>
      <c r="E214" t="s">
        <v>127</v>
      </c>
      <c r="F214" t="s">
        <v>113</v>
      </c>
      <c r="G214" t="s">
        <v>107</v>
      </c>
      <c r="H214" t="s">
        <v>228</v>
      </c>
      <c r="I214" t="str">
        <f>_xlfn.IFNA(VLOOKUP(C214,merchants!$A$2:$D$41,2,FALSE),"Merchant not found")</f>
        <v>Merchant_037</v>
      </c>
      <c r="J214" t="str">
        <f>_xlfn.IFNA(VLOOKUP(C214,merchants!$A$2:$D$41,3,FALSE),"Merchant not found")</f>
        <v>entertainment</v>
      </c>
      <c r="K214" t="str">
        <f>_xlfn.IFNA(VLOOKUP(C214,merchants!$A$2:$D$41,4,FALSE),"Merchant not found")</f>
        <v>South</v>
      </c>
      <c r="L214">
        <f t="shared" si="9"/>
        <v>46028</v>
      </c>
      <c r="M214">
        <f t="shared" si="10"/>
        <v>0</v>
      </c>
      <c r="N214" t="str">
        <f t="shared" si="11"/>
        <v>Standard</v>
      </c>
      <c r="O214">
        <f>HLOOKUP(F214,fee_lookup!$B$1:$E$2,2,FALSE)</f>
        <v>2E-3</v>
      </c>
    </row>
    <row r="215" spans="1:15" x14ac:dyDescent="0.3">
      <c r="A215" t="s">
        <v>713</v>
      </c>
      <c r="B215" t="s">
        <v>413</v>
      </c>
      <c r="C215" t="s">
        <v>93</v>
      </c>
      <c r="D215" t="s">
        <v>714</v>
      </c>
      <c r="E215" t="s">
        <v>112</v>
      </c>
      <c r="F215" t="s">
        <v>113</v>
      </c>
      <c r="G215" t="s">
        <v>107</v>
      </c>
      <c r="H215" t="s">
        <v>20</v>
      </c>
      <c r="I215" t="str">
        <f>_xlfn.IFNA(VLOOKUP(C215,merchants!$A$2:$D$41,2,FALSE),"Merchant not found")</f>
        <v>Merchant_040</v>
      </c>
      <c r="J215" t="str">
        <f>_xlfn.IFNA(VLOOKUP(C215,merchants!$A$2:$D$41,3,FALSE),"Merchant not found")</f>
        <v>entertainment</v>
      </c>
      <c r="K215" t="str">
        <f>_xlfn.IFNA(VLOOKUP(C215,merchants!$A$2:$D$41,4,FALSE),"Merchant not found")</f>
        <v>South</v>
      </c>
      <c r="L215">
        <f t="shared" si="9"/>
        <v>46025</v>
      </c>
      <c r="M215">
        <f t="shared" si="10"/>
        <v>0</v>
      </c>
      <c r="N215" t="str">
        <f t="shared" si="11"/>
        <v>Standard</v>
      </c>
      <c r="O215">
        <f>HLOOKUP(F215,fee_lookup!$B$1:$E$2,2,FALSE)</f>
        <v>2E-3</v>
      </c>
    </row>
    <row r="216" spans="1:15" x14ac:dyDescent="0.3">
      <c r="A216" t="s">
        <v>715</v>
      </c>
      <c r="B216" t="s">
        <v>471</v>
      </c>
      <c r="C216" t="s">
        <v>68</v>
      </c>
      <c r="D216" t="s">
        <v>716</v>
      </c>
      <c r="E216" t="s">
        <v>127</v>
      </c>
      <c r="F216" t="s">
        <v>113</v>
      </c>
      <c r="G216" t="s">
        <v>107</v>
      </c>
      <c r="H216" t="s">
        <v>267</v>
      </c>
      <c r="I216" t="str">
        <f>_xlfn.IFNA(VLOOKUP(C216,merchants!$A$2:$D$41,2,FALSE),"Merchant not found")</f>
        <v>Merchant_028</v>
      </c>
      <c r="J216" t="str">
        <f>_xlfn.IFNA(VLOOKUP(C216,merchants!$A$2:$D$41,3,FALSE),"Merchant not found")</f>
        <v>ecommerce</v>
      </c>
      <c r="K216" t="str">
        <f>_xlfn.IFNA(VLOOKUP(C216,merchants!$A$2:$D$41,4,FALSE),"Merchant not found")</f>
        <v>South</v>
      </c>
      <c r="L216">
        <f t="shared" si="9"/>
        <v>46044</v>
      </c>
      <c r="M216">
        <f t="shared" si="10"/>
        <v>0</v>
      </c>
      <c r="N216" t="str">
        <f t="shared" si="11"/>
        <v>Standard</v>
      </c>
      <c r="O216">
        <f>HLOOKUP(F216,fee_lookup!$B$1:$E$2,2,FALSE)</f>
        <v>2E-3</v>
      </c>
    </row>
    <row r="217" spans="1:15" x14ac:dyDescent="0.3">
      <c r="A217" t="s">
        <v>717</v>
      </c>
      <c r="B217" t="s">
        <v>718</v>
      </c>
      <c r="C217" t="s">
        <v>39</v>
      </c>
      <c r="D217" t="s">
        <v>719</v>
      </c>
      <c r="E217" t="s">
        <v>145</v>
      </c>
      <c r="F217" t="s">
        <v>106</v>
      </c>
      <c r="G217" t="s">
        <v>107</v>
      </c>
      <c r="H217" t="s">
        <v>296</v>
      </c>
      <c r="I217" t="str">
        <f>_xlfn.IFNA(VLOOKUP(C217,merchants!$A$2:$D$41,2,FALSE),"Merchant not found")</f>
        <v>Merchant_014</v>
      </c>
      <c r="J217" t="str">
        <f>_xlfn.IFNA(VLOOKUP(C217,merchants!$A$2:$D$41,3,FALSE),"Merchant not found")</f>
        <v>grocery</v>
      </c>
      <c r="K217" t="str">
        <f>_xlfn.IFNA(VLOOKUP(C217,merchants!$A$2:$D$41,4,FALSE),"Merchant not found")</f>
        <v>East</v>
      </c>
      <c r="L217">
        <f t="shared" si="9"/>
        <v>46042</v>
      </c>
      <c r="M217">
        <f t="shared" si="10"/>
        <v>0</v>
      </c>
      <c r="N217" t="str">
        <f t="shared" si="11"/>
        <v>Standard</v>
      </c>
      <c r="O217">
        <f>HLOOKUP(F217,fee_lookup!$B$1:$E$2,2,FALSE)</f>
        <v>0.01</v>
      </c>
    </row>
    <row r="218" spans="1:15" x14ac:dyDescent="0.3">
      <c r="A218" t="s">
        <v>720</v>
      </c>
      <c r="B218" t="s">
        <v>665</v>
      </c>
      <c r="C218" t="s">
        <v>25</v>
      </c>
      <c r="D218" t="s">
        <v>721</v>
      </c>
      <c r="E218" t="s">
        <v>145</v>
      </c>
      <c r="F218" t="s">
        <v>113</v>
      </c>
      <c r="G218" t="s">
        <v>107</v>
      </c>
      <c r="H218" t="s">
        <v>84</v>
      </c>
      <c r="I218" t="str">
        <f>_xlfn.IFNA(VLOOKUP(C218,merchants!$A$2:$D$41,2,FALSE),"Merchant not found")</f>
        <v>Merchant_008</v>
      </c>
      <c r="J218" t="str">
        <f>_xlfn.IFNA(VLOOKUP(C218,merchants!$A$2:$D$41,3,FALSE),"Merchant not found")</f>
        <v>food_delivery</v>
      </c>
      <c r="K218" t="str">
        <f>_xlfn.IFNA(VLOOKUP(C218,merchants!$A$2:$D$41,4,FALSE),"Merchant not found")</f>
        <v>North</v>
      </c>
      <c r="L218">
        <f t="shared" si="9"/>
        <v>46039</v>
      </c>
      <c r="M218">
        <f t="shared" si="10"/>
        <v>0</v>
      </c>
      <c r="N218" t="str">
        <f t="shared" si="11"/>
        <v>Standard</v>
      </c>
      <c r="O218">
        <f>HLOOKUP(F218,fee_lookup!$B$1:$E$2,2,FALSE)</f>
        <v>2E-3</v>
      </c>
    </row>
    <row r="219" spans="1:15" x14ac:dyDescent="0.3">
      <c r="A219" t="s">
        <v>722</v>
      </c>
      <c r="B219" t="s">
        <v>723</v>
      </c>
      <c r="C219" t="s">
        <v>80</v>
      </c>
      <c r="D219" t="s">
        <v>724</v>
      </c>
      <c r="E219" t="s">
        <v>145</v>
      </c>
      <c r="F219" t="s">
        <v>106</v>
      </c>
      <c r="G219" t="s">
        <v>107</v>
      </c>
      <c r="H219" t="s">
        <v>108</v>
      </c>
      <c r="I219" t="str">
        <f>_xlfn.IFNA(VLOOKUP(C219,merchants!$A$2:$D$41,2,FALSE),"Merchant not found")</f>
        <v>Merchant_034</v>
      </c>
      <c r="J219" t="str">
        <f>_xlfn.IFNA(VLOOKUP(C219,merchants!$A$2:$D$41,3,FALSE),"Merchant not found")</f>
        <v>travel</v>
      </c>
      <c r="K219" t="str">
        <f>_xlfn.IFNA(VLOOKUP(C219,merchants!$A$2:$D$41,4,FALSE),"Merchant not found")</f>
        <v>South</v>
      </c>
      <c r="L219">
        <f t="shared" si="9"/>
        <v>46044</v>
      </c>
      <c r="M219">
        <f t="shared" si="10"/>
        <v>0</v>
      </c>
      <c r="N219" t="str">
        <f t="shared" si="11"/>
        <v>Standard</v>
      </c>
      <c r="O219">
        <f>HLOOKUP(F219,fee_lookup!$B$1:$E$2,2,FALSE)</f>
        <v>0.01</v>
      </c>
    </row>
    <row r="220" spans="1:15" x14ac:dyDescent="0.3">
      <c r="A220" t="s">
        <v>725</v>
      </c>
      <c r="B220" t="s">
        <v>594</v>
      </c>
      <c r="C220" t="s">
        <v>91</v>
      </c>
      <c r="D220" t="s">
        <v>726</v>
      </c>
      <c r="E220" t="s">
        <v>112</v>
      </c>
      <c r="F220" t="s">
        <v>113</v>
      </c>
      <c r="G220" t="s">
        <v>107</v>
      </c>
      <c r="H220" t="s">
        <v>23</v>
      </c>
      <c r="I220" t="str">
        <f>_xlfn.IFNA(VLOOKUP(C220,merchants!$A$2:$D$41,2,FALSE),"Merchant not found")</f>
        <v>Merchant_039</v>
      </c>
      <c r="J220" t="str">
        <f>_xlfn.IFNA(VLOOKUP(C220,merchants!$A$2:$D$41,3,FALSE),"Merchant not found")</f>
        <v>entertainment</v>
      </c>
      <c r="K220" t="str">
        <f>_xlfn.IFNA(VLOOKUP(C220,merchants!$A$2:$D$41,4,FALSE),"Merchant not found")</f>
        <v>North</v>
      </c>
      <c r="L220">
        <f t="shared" si="9"/>
        <v>46032</v>
      </c>
      <c r="M220">
        <f t="shared" si="10"/>
        <v>0</v>
      </c>
      <c r="N220" t="str">
        <f t="shared" si="11"/>
        <v>Standard</v>
      </c>
      <c r="O220">
        <f>HLOOKUP(F220,fee_lookup!$B$1:$E$2,2,FALSE)</f>
        <v>2E-3</v>
      </c>
    </row>
    <row r="221" spans="1:15" x14ac:dyDescent="0.3">
      <c r="A221" t="s">
        <v>727</v>
      </c>
      <c r="B221" t="s">
        <v>286</v>
      </c>
      <c r="C221" t="s">
        <v>28</v>
      </c>
      <c r="D221" t="s">
        <v>728</v>
      </c>
      <c r="E221" t="s">
        <v>220</v>
      </c>
      <c r="F221" t="s">
        <v>106</v>
      </c>
      <c r="G221" t="s">
        <v>107</v>
      </c>
      <c r="H221" t="s">
        <v>506</v>
      </c>
      <c r="I221" t="str">
        <f>_xlfn.IFNA(VLOOKUP(C221,merchants!$A$2:$D$41,2,FALSE),"Merchant not found")</f>
        <v>Merchant_009</v>
      </c>
      <c r="J221" t="str">
        <f>_xlfn.IFNA(VLOOKUP(C221,merchants!$A$2:$D$41,3,FALSE),"Merchant not found")</f>
        <v>ecommerce</v>
      </c>
      <c r="K221" t="str">
        <f>_xlfn.IFNA(VLOOKUP(C221,merchants!$A$2:$D$41,4,FALSE),"Merchant not found")</f>
        <v>North</v>
      </c>
      <c r="L221">
        <f t="shared" si="9"/>
        <v>46023</v>
      </c>
      <c r="M221">
        <f t="shared" si="10"/>
        <v>0</v>
      </c>
      <c r="N221" t="str">
        <f t="shared" si="11"/>
        <v>Standard</v>
      </c>
      <c r="O221">
        <f>HLOOKUP(F221,fee_lookup!$B$1:$E$2,2,FALSE)</f>
        <v>0.01</v>
      </c>
    </row>
    <row r="222" spans="1:15" x14ac:dyDescent="0.3">
      <c r="A222" t="s">
        <v>729</v>
      </c>
      <c r="B222" t="s">
        <v>267</v>
      </c>
      <c r="C222" t="s">
        <v>4</v>
      </c>
      <c r="D222" t="s">
        <v>730</v>
      </c>
      <c r="E222" t="s">
        <v>274</v>
      </c>
      <c r="F222" t="s">
        <v>106</v>
      </c>
      <c r="G222" t="s">
        <v>107</v>
      </c>
      <c r="H222" t="s">
        <v>222</v>
      </c>
      <c r="I222" t="str">
        <f>_xlfn.IFNA(VLOOKUP(C222,merchants!$A$2:$D$41,2,FALSE),"Merchant not found")</f>
        <v>Merchant_001</v>
      </c>
      <c r="J222" t="str">
        <f>_xlfn.IFNA(VLOOKUP(C222,merchants!$A$2:$D$41,3,FALSE),"Merchant not found")</f>
        <v>ecommerce</v>
      </c>
      <c r="K222" t="str">
        <f>_xlfn.IFNA(VLOOKUP(C222,merchants!$A$2:$D$41,4,FALSE),"Merchant not found")</f>
        <v>South</v>
      </c>
      <c r="L222">
        <f t="shared" si="9"/>
        <v>46031</v>
      </c>
      <c r="M222">
        <f t="shared" si="10"/>
        <v>0</v>
      </c>
      <c r="N222" t="str">
        <f t="shared" si="11"/>
        <v>Standard</v>
      </c>
      <c r="O222">
        <f>HLOOKUP(F222,fee_lookup!$B$1:$E$2,2,FALSE)</f>
        <v>0.01</v>
      </c>
    </row>
    <row r="223" spans="1:15" x14ac:dyDescent="0.3">
      <c r="A223" t="s">
        <v>731</v>
      </c>
      <c r="B223" t="s">
        <v>679</v>
      </c>
      <c r="C223" t="s">
        <v>62</v>
      </c>
      <c r="D223" t="s">
        <v>732</v>
      </c>
      <c r="E223" t="s">
        <v>112</v>
      </c>
      <c r="F223" t="s">
        <v>113</v>
      </c>
      <c r="G223" t="s">
        <v>107</v>
      </c>
      <c r="H223" t="s">
        <v>263</v>
      </c>
      <c r="I223" t="str">
        <f>_xlfn.IFNA(VLOOKUP(C223,merchants!$A$2:$D$41,2,FALSE),"Merchant not found")</f>
        <v>Merchant_025</v>
      </c>
      <c r="J223" t="str">
        <f>_xlfn.IFNA(VLOOKUP(C223,merchants!$A$2:$D$41,3,FALSE),"Merchant not found")</f>
        <v>travel</v>
      </c>
      <c r="K223" t="str">
        <f>_xlfn.IFNA(VLOOKUP(C223,merchants!$A$2:$D$41,4,FALSE),"Merchant not found")</f>
        <v>South</v>
      </c>
      <c r="L223">
        <f t="shared" si="9"/>
        <v>46046</v>
      </c>
      <c r="M223">
        <f t="shared" si="10"/>
        <v>0</v>
      </c>
      <c r="N223" t="str">
        <f t="shared" si="11"/>
        <v>Standard</v>
      </c>
      <c r="O223">
        <f>HLOOKUP(F223,fee_lookup!$B$1:$E$2,2,FALSE)</f>
        <v>2E-3</v>
      </c>
    </row>
    <row r="224" spans="1:15" x14ac:dyDescent="0.3">
      <c r="A224" t="s">
        <v>733</v>
      </c>
      <c r="B224" t="s">
        <v>110</v>
      </c>
      <c r="C224" t="s">
        <v>58</v>
      </c>
      <c r="D224" t="s">
        <v>734</v>
      </c>
      <c r="E224" t="s">
        <v>112</v>
      </c>
      <c r="F224" t="s">
        <v>113</v>
      </c>
      <c r="G224" t="s">
        <v>107</v>
      </c>
      <c r="H224" t="s">
        <v>28</v>
      </c>
      <c r="I224" t="str">
        <f>_xlfn.IFNA(VLOOKUP(C224,merchants!$A$2:$D$41,2,FALSE),"Merchant not found")</f>
        <v>Merchant_023</v>
      </c>
      <c r="J224" t="str">
        <f>_xlfn.IFNA(VLOOKUP(C224,merchants!$A$2:$D$41,3,FALSE),"Merchant not found")</f>
        <v>travel</v>
      </c>
      <c r="K224" t="str">
        <f>_xlfn.IFNA(VLOOKUP(C224,merchants!$A$2:$D$41,4,FALSE),"Merchant not found")</f>
        <v>North</v>
      </c>
      <c r="L224">
        <f t="shared" si="9"/>
        <v>46045</v>
      </c>
      <c r="M224">
        <f t="shared" si="10"/>
        <v>0</v>
      </c>
      <c r="N224" t="str">
        <f t="shared" si="11"/>
        <v>Standard</v>
      </c>
      <c r="O224">
        <f>HLOOKUP(F224,fee_lookup!$B$1:$E$2,2,FALSE)</f>
        <v>2E-3</v>
      </c>
    </row>
    <row r="225" spans="1:15" x14ac:dyDescent="0.3">
      <c r="A225" t="s">
        <v>735</v>
      </c>
      <c r="B225" t="s">
        <v>736</v>
      </c>
      <c r="C225" t="s">
        <v>8</v>
      </c>
      <c r="D225" t="s">
        <v>737</v>
      </c>
      <c r="E225" t="s">
        <v>112</v>
      </c>
      <c r="F225" t="s">
        <v>154</v>
      </c>
      <c r="G225" t="s">
        <v>107</v>
      </c>
      <c r="H225" t="s">
        <v>463</v>
      </c>
      <c r="I225" t="str">
        <f>_xlfn.IFNA(VLOOKUP(C225,merchants!$A$2:$D$41,2,FALSE),"Merchant not found")</f>
        <v>Merchant_002</v>
      </c>
      <c r="J225" t="str">
        <f>_xlfn.IFNA(VLOOKUP(C225,merchants!$A$2:$D$41,3,FALSE),"Merchant not found")</f>
        <v>grocery</v>
      </c>
      <c r="K225" t="str">
        <f>_xlfn.IFNA(VLOOKUP(C225,merchants!$A$2:$D$41,4,FALSE),"Merchant not found")</f>
        <v>West</v>
      </c>
      <c r="L225">
        <f t="shared" si="9"/>
        <v>46035</v>
      </c>
      <c r="M225">
        <f t="shared" si="10"/>
        <v>0</v>
      </c>
      <c r="N225" t="str">
        <f t="shared" si="11"/>
        <v>Standard</v>
      </c>
      <c r="O225">
        <f>HLOOKUP(F225,fee_lookup!$B$1:$E$2,2,FALSE)</f>
        <v>1.7999999999999999E-2</v>
      </c>
    </row>
    <row r="226" spans="1:15" x14ac:dyDescent="0.3">
      <c r="A226" t="s">
        <v>738</v>
      </c>
      <c r="B226" t="s">
        <v>671</v>
      </c>
      <c r="C226" t="s">
        <v>87</v>
      </c>
      <c r="D226" t="s">
        <v>739</v>
      </c>
      <c r="E226" t="s">
        <v>145</v>
      </c>
      <c r="F226" t="s">
        <v>113</v>
      </c>
      <c r="G226" t="s">
        <v>107</v>
      </c>
      <c r="H226" t="s">
        <v>688</v>
      </c>
      <c r="I226" t="str">
        <f>_xlfn.IFNA(VLOOKUP(C226,merchants!$A$2:$D$41,2,FALSE),"Merchant not found")</f>
        <v>Merchant_037</v>
      </c>
      <c r="J226" t="str">
        <f>_xlfn.IFNA(VLOOKUP(C226,merchants!$A$2:$D$41,3,FALSE),"Merchant not found")</f>
        <v>entertainment</v>
      </c>
      <c r="K226" t="str">
        <f>_xlfn.IFNA(VLOOKUP(C226,merchants!$A$2:$D$41,4,FALSE),"Merchant not found")</f>
        <v>South</v>
      </c>
      <c r="L226">
        <f t="shared" si="9"/>
        <v>46052</v>
      </c>
      <c r="M226">
        <f t="shared" si="10"/>
        <v>0</v>
      </c>
      <c r="N226" t="str">
        <f t="shared" si="11"/>
        <v>Standard</v>
      </c>
      <c r="O226">
        <f>HLOOKUP(F226,fee_lookup!$B$1:$E$2,2,FALSE)</f>
        <v>2E-3</v>
      </c>
    </row>
    <row r="227" spans="1:15" x14ac:dyDescent="0.3">
      <c r="A227" t="s">
        <v>740</v>
      </c>
      <c r="B227" t="s">
        <v>627</v>
      </c>
      <c r="C227" t="s">
        <v>66</v>
      </c>
      <c r="D227" t="s">
        <v>741</v>
      </c>
      <c r="E227" t="s">
        <v>112</v>
      </c>
      <c r="F227" t="s">
        <v>113</v>
      </c>
      <c r="G227" t="s">
        <v>198</v>
      </c>
      <c r="H227" t="s">
        <v>87</v>
      </c>
      <c r="I227" t="str">
        <f>_xlfn.IFNA(VLOOKUP(C227,merchants!$A$2:$D$41,2,FALSE),"Merchant not found")</f>
        <v>Merchant_027</v>
      </c>
      <c r="J227" t="str">
        <f>_xlfn.IFNA(VLOOKUP(C227,merchants!$A$2:$D$41,3,FALSE),"Merchant not found")</f>
        <v>ecommerce</v>
      </c>
      <c r="K227" t="str">
        <f>_xlfn.IFNA(VLOOKUP(C227,merchants!$A$2:$D$41,4,FALSE),"Merchant not found")</f>
        <v>North</v>
      </c>
      <c r="L227">
        <f t="shared" si="9"/>
        <v>46041</v>
      </c>
      <c r="M227">
        <f t="shared" si="10"/>
        <v>0</v>
      </c>
      <c r="N227" t="str">
        <f t="shared" si="11"/>
        <v>Standard</v>
      </c>
      <c r="O227">
        <f>HLOOKUP(F227,fee_lookup!$B$1:$E$2,2,FALSE)</f>
        <v>2E-3</v>
      </c>
    </row>
    <row r="228" spans="1:15" x14ac:dyDescent="0.3">
      <c r="A228" t="s">
        <v>742</v>
      </c>
      <c r="B228" t="s">
        <v>343</v>
      </c>
      <c r="C228" t="s">
        <v>32</v>
      </c>
      <c r="D228" t="s">
        <v>743</v>
      </c>
      <c r="E228" t="s">
        <v>118</v>
      </c>
      <c r="F228" t="s">
        <v>154</v>
      </c>
      <c r="G228" t="s">
        <v>155</v>
      </c>
      <c r="H228" t="s">
        <v>114</v>
      </c>
      <c r="I228" t="str">
        <f>_xlfn.IFNA(VLOOKUP(C228,merchants!$A$2:$D$41,2,FALSE),"Merchant not found")</f>
        <v>Merchant_011</v>
      </c>
      <c r="J228" t="str">
        <f>_xlfn.IFNA(VLOOKUP(C228,merchants!$A$2:$D$41,3,FALSE),"Merchant not found")</f>
        <v>ecommerce</v>
      </c>
      <c r="K228" t="str">
        <f>_xlfn.IFNA(VLOOKUP(C228,merchants!$A$2:$D$41,4,FALSE),"Merchant not found")</f>
        <v>North</v>
      </c>
      <c r="L228">
        <f t="shared" si="9"/>
        <v>46026</v>
      </c>
      <c r="M228">
        <f t="shared" si="10"/>
        <v>0</v>
      </c>
      <c r="N228" t="str">
        <f t="shared" si="11"/>
        <v>Standard</v>
      </c>
      <c r="O228">
        <f>HLOOKUP(F228,fee_lookup!$B$1:$E$2,2,FALSE)</f>
        <v>1.7999999999999999E-2</v>
      </c>
    </row>
    <row r="229" spans="1:15" x14ac:dyDescent="0.3">
      <c r="A229" t="s">
        <v>744</v>
      </c>
      <c r="B229" t="s">
        <v>619</v>
      </c>
      <c r="C229" t="s">
        <v>20</v>
      </c>
      <c r="D229" t="s">
        <v>745</v>
      </c>
      <c r="E229" t="s">
        <v>112</v>
      </c>
      <c r="F229" t="s">
        <v>106</v>
      </c>
      <c r="G229" t="s">
        <v>107</v>
      </c>
      <c r="H229" t="s">
        <v>187</v>
      </c>
      <c r="I229" t="str">
        <f>_xlfn.IFNA(VLOOKUP(C229,merchants!$A$2:$D$41,2,FALSE),"Merchant not found")</f>
        <v>Merchant_006</v>
      </c>
      <c r="J229" t="str">
        <f>_xlfn.IFNA(VLOOKUP(C229,merchants!$A$2:$D$41,3,FALSE),"Merchant not found")</f>
        <v>food_delivery</v>
      </c>
      <c r="K229" t="str">
        <f>_xlfn.IFNA(VLOOKUP(C229,merchants!$A$2:$D$41,4,FALSE),"Merchant not found")</f>
        <v>South</v>
      </c>
      <c r="L229">
        <f t="shared" si="9"/>
        <v>46037</v>
      </c>
      <c r="M229">
        <f t="shared" si="10"/>
        <v>0</v>
      </c>
      <c r="N229" t="str">
        <f t="shared" si="11"/>
        <v>Standard</v>
      </c>
      <c r="O229">
        <f>HLOOKUP(F229,fee_lookup!$B$1:$E$2,2,FALSE)</f>
        <v>0.01</v>
      </c>
    </row>
    <row r="230" spans="1:15" x14ac:dyDescent="0.3">
      <c r="A230" t="s">
        <v>746</v>
      </c>
      <c r="B230" t="s">
        <v>736</v>
      </c>
      <c r="C230" t="s">
        <v>89</v>
      </c>
      <c r="D230" t="s">
        <v>747</v>
      </c>
      <c r="E230" t="s">
        <v>145</v>
      </c>
      <c r="F230" t="s">
        <v>106</v>
      </c>
      <c r="G230" t="s">
        <v>155</v>
      </c>
      <c r="H230" t="s">
        <v>137</v>
      </c>
      <c r="I230" t="str">
        <f>_xlfn.IFNA(VLOOKUP(C230,merchants!$A$2:$D$41,2,FALSE),"Merchant not found")</f>
        <v>Merchant_038</v>
      </c>
      <c r="J230" t="str">
        <f>_xlfn.IFNA(VLOOKUP(C230,merchants!$A$2:$D$41,3,FALSE),"Merchant not found")</f>
        <v>grocery</v>
      </c>
      <c r="K230" t="str">
        <f>_xlfn.IFNA(VLOOKUP(C230,merchants!$A$2:$D$41,4,FALSE),"Merchant not found")</f>
        <v>East</v>
      </c>
      <c r="L230">
        <f t="shared" si="9"/>
        <v>46050</v>
      </c>
      <c r="M230">
        <f t="shared" si="10"/>
        <v>0</v>
      </c>
      <c r="N230" t="str">
        <f t="shared" si="11"/>
        <v>Standard</v>
      </c>
      <c r="O230">
        <f>HLOOKUP(F230,fee_lookup!$B$1:$E$2,2,FALSE)</f>
        <v>0.01</v>
      </c>
    </row>
    <row r="231" spans="1:15" x14ac:dyDescent="0.3">
      <c r="A231" t="s">
        <v>748</v>
      </c>
      <c r="B231" t="s">
        <v>203</v>
      </c>
      <c r="C231" t="s">
        <v>56</v>
      </c>
      <c r="D231" t="s">
        <v>749</v>
      </c>
      <c r="E231" t="s">
        <v>140</v>
      </c>
      <c r="F231" t="s">
        <v>113</v>
      </c>
      <c r="G231" t="s">
        <v>107</v>
      </c>
      <c r="H231" t="s">
        <v>68</v>
      </c>
      <c r="I231" t="str">
        <f>_xlfn.IFNA(VLOOKUP(C231,merchants!$A$2:$D$41,2,FALSE),"Merchant not found")</f>
        <v>Merchant_022</v>
      </c>
      <c r="J231" t="str">
        <f>_xlfn.IFNA(VLOOKUP(C231,merchants!$A$2:$D$41,3,FALSE),"Merchant not found")</f>
        <v>travel</v>
      </c>
      <c r="K231" t="str">
        <f>_xlfn.IFNA(VLOOKUP(C231,merchants!$A$2:$D$41,4,FALSE),"Merchant not found")</f>
        <v>South</v>
      </c>
      <c r="L231">
        <f t="shared" si="9"/>
        <v>46039</v>
      </c>
      <c r="M231">
        <f t="shared" si="10"/>
        <v>0</v>
      </c>
      <c r="N231" t="str">
        <f t="shared" si="11"/>
        <v>Standard</v>
      </c>
      <c r="O231">
        <f>HLOOKUP(F231,fee_lookup!$B$1:$E$2,2,FALSE)</f>
        <v>2E-3</v>
      </c>
    </row>
    <row r="232" spans="1:15" x14ac:dyDescent="0.3">
      <c r="A232" t="s">
        <v>750</v>
      </c>
      <c r="B232" t="s">
        <v>751</v>
      </c>
      <c r="C232" t="s">
        <v>25</v>
      </c>
      <c r="D232" t="s">
        <v>752</v>
      </c>
      <c r="E232" t="s">
        <v>227</v>
      </c>
      <c r="F232" t="s">
        <v>113</v>
      </c>
      <c r="G232" t="s">
        <v>107</v>
      </c>
      <c r="H232" t="s">
        <v>679</v>
      </c>
      <c r="I232" t="str">
        <f>_xlfn.IFNA(VLOOKUP(C232,merchants!$A$2:$D$41,2,FALSE),"Merchant not found")</f>
        <v>Merchant_008</v>
      </c>
      <c r="J232" t="str">
        <f>_xlfn.IFNA(VLOOKUP(C232,merchants!$A$2:$D$41,3,FALSE),"Merchant not found")</f>
        <v>food_delivery</v>
      </c>
      <c r="K232" t="str">
        <f>_xlfn.IFNA(VLOOKUP(C232,merchants!$A$2:$D$41,4,FALSE),"Merchant not found")</f>
        <v>North</v>
      </c>
      <c r="L232">
        <f t="shared" si="9"/>
        <v>46033</v>
      </c>
      <c r="M232">
        <f t="shared" si="10"/>
        <v>0</v>
      </c>
      <c r="N232" t="str">
        <f t="shared" si="11"/>
        <v>Standard</v>
      </c>
      <c r="O232">
        <f>HLOOKUP(F232,fee_lookup!$B$1:$E$2,2,FALSE)</f>
        <v>2E-3</v>
      </c>
    </row>
    <row r="233" spans="1:15" x14ac:dyDescent="0.3">
      <c r="A233" t="s">
        <v>753</v>
      </c>
      <c r="B233" t="s">
        <v>754</v>
      </c>
      <c r="C233" t="s">
        <v>58</v>
      </c>
      <c r="D233" t="s">
        <v>755</v>
      </c>
      <c r="E233" t="s">
        <v>112</v>
      </c>
      <c r="F233" t="s">
        <v>106</v>
      </c>
      <c r="G233" t="s">
        <v>107</v>
      </c>
      <c r="H233" t="s">
        <v>756</v>
      </c>
      <c r="I233" t="str">
        <f>_xlfn.IFNA(VLOOKUP(C233,merchants!$A$2:$D$41,2,FALSE),"Merchant not found")</f>
        <v>Merchant_023</v>
      </c>
      <c r="J233" t="str">
        <f>_xlfn.IFNA(VLOOKUP(C233,merchants!$A$2:$D$41,3,FALSE),"Merchant not found")</f>
        <v>travel</v>
      </c>
      <c r="K233" t="str">
        <f>_xlfn.IFNA(VLOOKUP(C233,merchants!$A$2:$D$41,4,FALSE),"Merchant not found")</f>
        <v>North</v>
      </c>
      <c r="L233">
        <f t="shared" si="9"/>
        <v>46039</v>
      </c>
      <c r="M233">
        <f t="shared" si="10"/>
        <v>0</v>
      </c>
      <c r="N233" t="str">
        <f t="shared" si="11"/>
        <v>Standard</v>
      </c>
      <c r="O233">
        <f>HLOOKUP(F233,fee_lookup!$B$1:$E$2,2,FALSE)</f>
        <v>0.01</v>
      </c>
    </row>
    <row r="234" spans="1:15" x14ac:dyDescent="0.3">
      <c r="A234" t="s">
        <v>757</v>
      </c>
      <c r="B234" t="s">
        <v>228</v>
      </c>
      <c r="C234" t="s">
        <v>43</v>
      </c>
      <c r="D234" t="s">
        <v>758</v>
      </c>
      <c r="E234" t="s">
        <v>145</v>
      </c>
      <c r="F234" t="s">
        <v>113</v>
      </c>
      <c r="G234" t="s">
        <v>107</v>
      </c>
      <c r="H234" t="s">
        <v>36</v>
      </c>
      <c r="I234" t="str">
        <f>_xlfn.IFNA(VLOOKUP(C234,merchants!$A$2:$D$41,2,FALSE),"Merchant not found")</f>
        <v>Merchant_016</v>
      </c>
      <c r="J234" t="str">
        <f>_xlfn.IFNA(VLOOKUP(C234,merchants!$A$2:$D$41,3,FALSE),"Merchant not found")</f>
        <v>bill_payment</v>
      </c>
      <c r="K234" t="str">
        <f>_xlfn.IFNA(VLOOKUP(C234,merchants!$A$2:$D$41,4,FALSE),"Merchant not found")</f>
        <v>West</v>
      </c>
      <c r="L234">
        <f t="shared" si="9"/>
        <v>46049</v>
      </c>
      <c r="M234">
        <f t="shared" si="10"/>
        <v>0</v>
      </c>
      <c r="N234" t="str">
        <f t="shared" si="11"/>
        <v>Standard</v>
      </c>
      <c r="O234">
        <f>HLOOKUP(F234,fee_lookup!$B$1:$E$2,2,FALSE)</f>
        <v>2E-3</v>
      </c>
    </row>
    <row r="235" spans="1:15" x14ac:dyDescent="0.3">
      <c r="A235" t="s">
        <v>759</v>
      </c>
      <c r="B235" t="s">
        <v>385</v>
      </c>
      <c r="C235" t="s">
        <v>91</v>
      </c>
      <c r="D235" t="s">
        <v>760</v>
      </c>
      <c r="E235" t="s">
        <v>145</v>
      </c>
      <c r="F235" t="s">
        <v>113</v>
      </c>
      <c r="G235" t="s">
        <v>107</v>
      </c>
      <c r="H235" t="s">
        <v>50</v>
      </c>
      <c r="I235" t="str">
        <f>_xlfn.IFNA(VLOOKUP(C235,merchants!$A$2:$D$41,2,FALSE),"Merchant not found")</f>
        <v>Merchant_039</v>
      </c>
      <c r="J235" t="str">
        <f>_xlfn.IFNA(VLOOKUP(C235,merchants!$A$2:$D$41,3,FALSE),"Merchant not found")</f>
        <v>entertainment</v>
      </c>
      <c r="K235" t="str">
        <f>_xlfn.IFNA(VLOOKUP(C235,merchants!$A$2:$D$41,4,FALSE),"Merchant not found")</f>
        <v>North</v>
      </c>
      <c r="L235">
        <f t="shared" si="9"/>
        <v>46027</v>
      </c>
      <c r="M235">
        <f t="shared" si="10"/>
        <v>0</v>
      </c>
      <c r="N235" t="str">
        <f t="shared" si="11"/>
        <v>Standard</v>
      </c>
      <c r="O235">
        <f>HLOOKUP(F235,fee_lookup!$B$1:$E$2,2,FALSE)</f>
        <v>2E-3</v>
      </c>
    </row>
    <row r="236" spans="1:15" x14ac:dyDescent="0.3">
      <c r="A236" t="s">
        <v>761</v>
      </c>
      <c r="B236" t="s">
        <v>762</v>
      </c>
      <c r="C236" t="s">
        <v>76</v>
      </c>
      <c r="D236" t="s">
        <v>763</v>
      </c>
      <c r="E236" t="s">
        <v>112</v>
      </c>
      <c r="F236" t="s">
        <v>113</v>
      </c>
      <c r="G236" t="s">
        <v>107</v>
      </c>
      <c r="H236" t="s">
        <v>191</v>
      </c>
      <c r="I236" t="str">
        <f>_xlfn.IFNA(VLOOKUP(C236,merchants!$A$2:$D$41,2,FALSE),"Merchant not found")</f>
        <v>Merchant_032</v>
      </c>
      <c r="J236" t="str">
        <f>_xlfn.IFNA(VLOOKUP(C236,merchants!$A$2:$D$41,3,FALSE),"Merchant not found")</f>
        <v>food_delivery</v>
      </c>
      <c r="K236" t="str">
        <f>_xlfn.IFNA(VLOOKUP(C236,merchants!$A$2:$D$41,4,FALSE),"Merchant not found")</f>
        <v>West</v>
      </c>
      <c r="L236">
        <f t="shared" si="9"/>
        <v>46047</v>
      </c>
      <c r="M236">
        <f t="shared" si="10"/>
        <v>0</v>
      </c>
      <c r="N236" t="str">
        <f t="shared" si="11"/>
        <v>Standard</v>
      </c>
      <c r="O236">
        <f>HLOOKUP(F236,fee_lookup!$B$1:$E$2,2,FALSE)</f>
        <v>2E-3</v>
      </c>
    </row>
    <row r="237" spans="1:15" x14ac:dyDescent="0.3">
      <c r="A237" t="s">
        <v>764</v>
      </c>
      <c r="B237" t="s">
        <v>765</v>
      </c>
      <c r="C237" t="s">
        <v>70</v>
      </c>
      <c r="D237" t="s">
        <v>766</v>
      </c>
      <c r="E237" t="s">
        <v>127</v>
      </c>
      <c r="F237" t="s">
        <v>154</v>
      </c>
      <c r="G237" t="s">
        <v>198</v>
      </c>
      <c r="H237" t="s">
        <v>316</v>
      </c>
      <c r="I237" t="str">
        <f>_xlfn.IFNA(VLOOKUP(C237,merchants!$A$2:$D$41,2,FALSE),"Merchant not found")</f>
        <v>Merchant_029</v>
      </c>
      <c r="J237" t="str">
        <f>_xlfn.IFNA(VLOOKUP(C237,merchants!$A$2:$D$41,3,FALSE),"Merchant not found")</f>
        <v>ecommerce</v>
      </c>
      <c r="K237" t="str">
        <f>_xlfn.IFNA(VLOOKUP(C237,merchants!$A$2:$D$41,4,FALSE),"Merchant not found")</f>
        <v>North</v>
      </c>
      <c r="L237">
        <f t="shared" si="9"/>
        <v>46047</v>
      </c>
      <c r="M237">
        <f t="shared" si="10"/>
        <v>0</v>
      </c>
      <c r="N237" t="str">
        <f t="shared" si="11"/>
        <v>Standard</v>
      </c>
      <c r="O237">
        <f>HLOOKUP(F237,fee_lookup!$B$1:$E$2,2,FALSE)</f>
        <v>1.7999999999999999E-2</v>
      </c>
    </row>
    <row r="238" spans="1:15" x14ac:dyDescent="0.3">
      <c r="A238" t="s">
        <v>767</v>
      </c>
      <c r="B238" t="s">
        <v>452</v>
      </c>
      <c r="C238" t="s">
        <v>93</v>
      </c>
      <c r="D238" t="s">
        <v>768</v>
      </c>
      <c r="E238" t="s">
        <v>220</v>
      </c>
      <c r="F238" t="s">
        <v>154</v>
      </c>
      <c r="G238" t="s">
        <v>107</v>
      </c>
      <c r="H238" t="s">
        <v>288</v>
      </c>
      <c r="I238" t="str">
        <f>_xlfn.IFNA(VLOOKUP(C238,merchants!$A$2:$D$41,2,FALSE),"Merchant not found")</f>
        <v>Merchant_040</v>
      </c>
      <c r="J238" t="str">
        <f>_xlfn.IFNA(VLOOKUP(C238,merchants!$A$2:$D$41,3,FALSE),"Merchant not found")</f>
        <v>entertainment</v>
      </c>
      <c r="K238" t="str">
        <f>_xlfn.IFNA(VLOOKUP(C238,merchants!$A$2:$D$41,4,FALSE),"Merchant not found")</f>
        <v>South</v>
      </c>
      <c r="L238">
        <f t="shared" si="9"/>
        <v>46052</v>
      </c>
      <c r="M238">
        <f t="shared" si="10"/>
        <v>0</v>
      </c>
      <c r="N238" t="str">
        <f t="shared" si="11"/>
        <v>Standard</v>
      </c>
      <c r="O238">
        <f>HLOOKUP(F238,fee_lookup!$B$1:$E$2,2,FALSE)</f>
        <v>1.7999999999999999E-2</v>
      </c>
    </row>
    <row r="239" spans="1:15" x14ac:dyDescent="0.3">
      <c r="A239" t="s">
        <v>769</v>
      </c>
      <c r="B239" t="s">
        <v>208</v>
      </c>
      <c r="C239" t="s">
        <v>70</v>
      </c>
      <c r="D239" t="s">
        <v>770</v>
      </c>
      <c r="E239" t="s">
        <v>227</v>
      </c>
      <c r="F239" t="s">
        <v>113</v>
      </c>
      <c r="G239" t="s">
        <v>107</v>
      </c>
      <c r="H239" t="s">
        <v>25</v>
      </c>
      <c r="I239" t="str">
        <f>_xlfn.IFNA(VLOOKUP(C239,merchants!$A$2:$D$41,2,FALSE),"Merchant not found")</f>
        <v>Merchant_029</v>
      </c>
      <c r="J239" t="str">
        <f>_xlfn.IFNA(VLOOKUP(C239,merchants!$A$2:$D$41,3,FALSE),"Merchant not found")</f>
        <v>ecommerce</v>
      </c>
      <c r="K239" t="str">
        <f>_xlfn.IFNA(VLOOKUP(C239,merchants!$A$2:$D$41,4,FALSE),"Merchant not found")</f>
        <v>North</v>
      </c>
      <c r="L239">
        <f t="shared" si="9"/>
        <v>46050</v>
      </c>
      <c r="M239">
        <f t="shared" si="10"/>
        <v>0</v>
      </c>
      <c r="N239" t="str">
        <f t="shared" si="11"/>
        <v>Standard</v>
      </c>
      <c r="O239">
        <f>HLOOKUP(F239,fee_lookup!$B$1:$E$2,2,FALSE)</f>
        <v>2E-3</v>
      </c>
    </row>
    <row r="240" spans="1:15" x14ac:dyDescent="0.3">
      <c r="A240" t="s">
        <v>771</v>
      </c>
      <c r="B240" t="s">
        <v>772</v>
      </c>
      <c r="C240" t="s">
        <v>48</v>
      </c>
      <c r="D240" t="s">
        <v>773</v>
      </c>
      <c r="E240" t="s">
        <v>105</v>
      </c>
      <c r="F240" t="s">
        <v>154</v>
      </c>
      <c r="G240" t="s">
        <v>107</v>
      </c>
      <c r="H240" t="s">
        <v>313</v>
      </c>
      <c r="I240" t="str">
        <f>_xlfn.IFNA(VLOOKUP(C240,merchants!$A$2:$D$41,2,FALSE),"Merchant not found")</f>
        <v>Merchant_018</v>
      </c>
      <c r="J240" t="str">
        <f>_xlfn.IFNA(VLOOKUP(C240,merchants!$A$2:$D$41,3,FALSE),"Merchant not found")</f>
        <v>grocery</v>
      </c>
      <c r="K240" t="str">
        <f>_xlfn.IFNA(VLOOKUP(C240,merchants!$A$2:$D$41,4,FALSE),"Merchant not found")</f>
        <v>West</v>
      </c>
      <c r="L240">
        <f t="shared" si="9"/>
        <v>46038</v>
      </c>
      <c r="M240">
        <f t="shared" si="10"/>
        <v>0</v>
      </c>
      <c r="N240" t="str">
        <f t="shared" si="11"/>
        <v>Standard</v>
      </c>
      <c r="O240">
        <f>HLOOKUP(F240,fee_lookup!$B$1:$E$2,2,FALSE)</f>
        <v>1.7999999999999999E-2</v>
      </c>
    </row>
    <row r="241" spans="1:15" x14ac:dyDescent="0.3">
      <c r="A241" t="s">
        <v>774</v>
      </c>
      <c r="B241" t="s">
        <v>89</v>
      </c>
      <c r="C241" t="s">
        <v>52</v>
      </c>
      <c r="D241" t="s">
        <v>775</v>
      </c>
      <c r="E241" t="s">
        <v>112</v>
      </c>
      <c r="F241" t="s">
        <v>106</v>
      </c>
      <c r="G241" t="s">
        <v>155</v>
      </c>
      <c r="H241" t="s">
        <v>191</v>
      </c>
      <c r="I241" t="str">
        <f>_xlfn.IFNA(VLOOKUP(C241,merchants!$A$2:$D$41,2,FALSE),"Merchant not found")</f>
        <v>Merchant_020</v>
      </c>
      <c r="J241" t="str">
        <f>_xlfn.IFNA(VLOOKUP(C241,merchants!$A$2:$D$41,3,FALSE),"Merchant not found")</f>
        <v>food_delivery</v>
      </c>
      <c r="K241" t="str">
        <f>_xlfn.IFNA(VLOOKUP(C241,merchants!$A$2:$D$41,4,FALSE),"Merchant not found")</f>
        <v>East</v>
      </c>
      <c r="L241">
        <f t="shared" si="9"/>
        <v>46024</v>
      </c>
      <c r="M241">
        <f t="shared" si="10"/>
        <v>0</v>
      </c>
      <c r="N241" t="str">
        <f t="shared" si="11"/>
        <v>Standard</v>
      </c>
      <c r="O241">
        <f>HLOOKUP(F241,fee_lookup!$B$1:$E$2,2,FALSE)</f>
        <v>0.01</v>
      </c>
    </row>
    <row r="242" spans="1:15" x14ac:dyDescent="0.3">
      <c r="A242" t="s">
        <v>776</v>
      </c>
      <c r="B242" t="s">
        <v>597</v>
      </c>
      <c r="C242" t="s">
        <v>50</v>
      </c>
      <c r="D242" t="s">
        <v>777</v>
      </c>
      <c r="E242" t="s">
        <v>127</v>
      </c>
      <c r="F242" t="s">
        <v>113</v>
      </c>
      <c r="G242" t="s">
        <v>155</v>
      </c>
      <c r="H242" t="s">
        <v>28</v>
      </c>
      <c r="I242" t="str">
        <f>_xlfn.IFNA(VLOOKUP(C242,merchants!$A$2:$D$41,2,FALSE),"Merchant not found")</f>
        <v>Merchant_019</v>
      </c>
      <c r="J242" t="str">
        <f>_xlfn.IFNA(VLOOKUP(C242,merchants!$A$2:$D$41,3,FALSE),"Merchant not found")</f>
        <v>grocery</v>
      </c>
      <c r="K242" t="str">
        <f>_xlfn.IFNA(VLOOKUP(C242,merchants!$A$2:$D$41,4,FALSE),"Merchant not found")</f>
        <v>North</v>
      </c>
      <c r="L242">
        <f t="shared" si="9"/>
        <v>46037</v>
      </c>
      <c r="M242">
        <f t="shared" si="10"/>
        <v>0</v>
      </c>
      <c r="N242" t="str">
        <f t="shared" si="11"/>
        <v>Standard</v>
      </c>
      <c r="O242">
        <f>HLOOKUP(F242,fee_lookup!$B$1:$E$2,2,FALSE)</f>
        <v>2E-3</v>
      </c>
    </row>
    <row r="243" spans="1:15" x14ac:dyDescent="0.3">
      <c r="A243" t="s">
        <v>778</v>
      </c>
      <c r="B243" t="s">
        <v>779</v>
      </c>
      <c r="C243" t="s">
        <v>78</v>
      </c>
      <c r="D243" t="s">
        <v>780</v>
      </c>
      <c r="E243" t="s">
        <v>145</v>
      </c>
      <c r="F243" t="s">
        <v>154</v>
      </c>
      <c r="G243" t="s">
        <v>107</v>
      </c>
      <c r="H243" t="s">
        <v>112</v>
      </c>
      <c r="I243" t="str">
        <f>_xlfn.IFNA(VLOOKUP(C243,merchants!$A$2:$D$41,2,FALSE),"Merchant not found")</f>
        <v>Merchant_033</v>
      </c>
      <c r="J243" t="str">
        <f>_xlfn.IFNA(VLOOKUP(C243,merchants!$A$2:$D$41,3,FALSE),"Merchant not found")</f>
        <v>bill_payment</v>
      </c>
      <c r="K243" t="str">
        <f>_xlfn.IFNA(VLOOKUP(C243,merchants!$A$2:$D$41,4,FALSE),"Merchant not found")</f>
        <v>East</v>
      </c>
      <c r="L243">
        <f t="shared" si="9"/>
        <v>46043</v>
      </c>
      <c r="M243">
        <f t="shared" si="10"/>
        <v>0</v>
      </c>
      <c r="N243" t="str">
        <f t="shared" si="11"/>
        <v>Standard</v>
      </c>
      <c r="O243">
        <f>HLOOKUP(F243,fee_lookup!$B$1:$E$2,2,FALSE)</f>
        <v>1.7999999999999999E-2</v>
      </c>
    </row>
    <row r="244" spans="1:15" x14ac:dyDescent="0.3">
      <c r="A244" t="s">
        <v>781</v>
      </c>
      <c r="B244" t="s">
        <v>56</v>
      </c>
      <c r="C244" t="s">
        <v>70</v>
      </c>
      <c r="D244" t="s">
        <v>782</v>
      </c>
      <c r="E244" t="s">
        <v>140</v>
      </c>
      <c r="F244" t="s">
        <v>113</v>
      </c>
      <c r="G244" t="s">
        <v>107</v>
      </c>
      <c r="H244" t="s">
        <v>508</v>
      </c>
      <c r="I244" t="str">
        <f>_xlfn.IFNA(VLOOKUP(C244,merchants!$A$2:$D$41,2,FALSE),"Merchant not found")</f>
        <v>Merchant_029</v>
      </c>
      <c r="J244" t="str">
        <f>_xlfn.IFNA(VLOOKUP(C244,merchants!$A$2:$D$41,3,FALSE),"Merchant not found")</f>
        <v>ecommerce</v>
      </c>
      <c r="K244" t="str">
        <f>_xlfn.IFNA(VLOOKUP(C244,merchants!$A$2:$D$41,4,FALSE),"Merchant not found")</f>
        <v>North</v>
      </c>
      <c r="L244">
        <f t="shared" si="9"/>
        <v>46037</v>
      </c>
      <c r="M244">
        <f t="shared" si="10"/>
        <v>0</v>
      </c>
      <c r="N244" t="str">
        <f t="shared" si="11"/>
        <v>Standard</v>
      </c>
      <c r="O244">
        <f>HLOOKUP(F244,fee_lookup!$B$1:$E$2,2,FALSE)</f>
        <v>2E-3</v>
      </c>
    </row>
    <row r="245" spans="1:15" x14ac:dyDescent="0.3">
      <c r="A245" t="s">
        <v>783</v>
      </c>
      <c r="B245" t="s">
        <v>784</v>
      </c>
      <c r="C245" t="s">
        <v>74</v>
      </c>
      <c r="D245" t="s">
        <v>785</v>
      </c>
      <c r="E245" t="s">
        <v>112</v>
      </c>
      <c r="F245" t="s">
        <v>154</v>
      </c>
      <c r="G245" t="s">
        <v>107</v>
      </c>
      <c r="H245" t="s">
        <v>323</v>
      </c>
      <c r="I245" t="str">
        <f>_xlfn.IFNA(VLOOKUP(C245,merchants!$A$2:$D$41,2,FALSE),"Merchant not found")</f>
        <v>Merchant_031</v>
      </c>
      <c r="J245" t="str">
        <f>_xlfn.IFNA(VLOOKUP(C245,merchants!$A$2:$D$41,3,FALSE),"Merchant not found")</f>
        <v>bill_payment</v>
      </c>
      <c r="K245" t="str">
        <f>_xlfn.IFNA(VLOOKUP(C245,merchants!$A$2:$D$41,4,FALSE),"Merchant not found")</f>
        <v>East</v>
      </c>
      <c r="L245">
        <f t="shared" si="9"/>
        <v>46043</v>
      </c>
      <c r="M245">
        <f t="shared" si="10"/>
        <v>0</v>
      </c>
      <c r="N245" t="str">
        <f t="shared" si="11"/>
        <v>Standard</v>
      </c>
      <c r="O245">
        <f>HLOOKUP(F245,fee_lookup!$B$1:$E$2,2,FALSE)</f>
        <v>1.7999999999999999E-2</v>
      </c>
    </row>
    <row r="246" spans="1:15" x14ac:dyDescent="0.3">
      <c r="A246" t="s">
        <v>786</v>
      </c>
      <c r="B246" t="s">
        <v>252</v>
      </c>
      <c r="C246" t="s">
        <v>56</v>
      </c>
      <c r="D246" t="s">
        <v>787</v>
      </c>
      <c r="E246" t="s">
        <v>145</v>
      </c>
      <c r="F246" t="s">
        <v>113</v>
      </c>
      <c r="G246" t="s">
        <v>107</v>
      </c>
      <c r="H246" t="s">
        <v>762</v>
      </c>
      <c r="I246" t="str">
        <f>_xlfn.IFNA(VLOOKUP(C246,merchants!$A$2:$D$41,2,FALSE),"Merchant not found")</f>
        <v>Merchant_022</v>
      </c>
      <c r="J246" t="str">
        <f>_xlfn.IFNA(VLOOKUP(C246,merchants!$A$2:$D$41,3,FALSE),"Merchant not found")</f>
        <v>travel</v>
      </c>
      <c r="K246" t="str">
        <f>_xlfn.IFNA(VLOOKUP(C246,merchants!$A$2:$D$41,4,FALSE),"Merchant not found")</f>
        <v>South</v>
      </c>
      <c r="L246">
        <f t="shared" si="9"/>
        <v>46027</v>
      </c>
      <c r="M246">
        <f t="shared" si="10"/>
        <v>0</v>
      </c>
      <c r="N246" t="str">
        <f t="shared" si="11"/>
        <v>Standard</v>
      </c>
      <c r="O246">
        <f>HLOOKUP(F246,fee_lookup!$B$1:$E$2,2,FALSE)</f>
        <v>2E-3</v>
      </c>
    </row>
    <row r="247" spans="1:15" x14ac:dyDescent="0.3">
      <c r="A247" t="s">
        <v>788</v>
      </c>
      <c r="B247" t="s">
        <v>385</v>
      </c>
      <c r="C247" t="s">
        <v>12</v>
      </c>
      <c r="D247" t="s">
        <v>789</v>
      </c>
      <c r="E247" t="s">
        <v>227</v>
      </c>
      <c r="F247" t="s">
        <v>154</v>
      </c>
      <c r="G247" t="s">
        <v>107</v>
      </c>
      <c r="H247" t="s">
        <v>74</v>
      </c>
      <c r="I247" t="str">
        <f>_xlfn.IFNA(VLOOKUP(C247,merchants!$A$2:$D$41,2,FALSE),"Merchant not found")</f>
        <v>Merchant_003</v>
      </c>
      <c r="J247" t="str">
        <f>_xlfn.IFNA(VLOOKUP(C247,merchants!$A$2:$D$41,3,FALSE),"Merchant not found")</f>
        <v>grocery</v>
      </c>
      <c r="K247" t="str">
        <f>_xlfn.IFNA(VLOOKUP(C247,merchants!$A$2:$D$41,4,FALSE),"Merchant not found")</f>
        <v>East</v>
      </c>
      <c r="L247">
        <f t="shared" si="9"/>
        <v>46025</v>
      </c>
      <c r="M247">
        <f t="shared" si="10"/>
        <v>0</v>
      </c>
      <c r="N247" t="str">
        <f t="shared" si="11"/>
        <v>Standard</v>
      </c>
      <c r="O247">
        <f>HLOOKUP(F247,fee_lookup!$B$1:$E$2,2,FALSE)</f>
        <v>1.7999999999999999E-2</v>
      </c>
    </row>
    <row r="248" spans="1:15" x14ac:dyDescent="0.3">
      <c r="A248" t="s">
        <v>790</v>
      </c>
      <c r="B248" t="s">
        <v>791</v>
      </c>
      <c r="C248" t="s">
        <v>80</v>
      </c>
      <c r="D248" t="s">
        <v>792</v>
      </c>
      <c r="E248" t="s">
        <v>227</v>
      </c>
      <c r="F248" t="s">
        <v>113</v>
      </c>
      <c r="G248" t="s">
        <v>107</v>
      </c>
      <c r="H248" t="s">
        <v>208</v>
      </c>
      <c r="I248" t="str">
        <f>_xlfn.IFNA(VLOOKUP(C248,merchants!$A$2:$D$41,2,FALSE),"Merchant not found")</f>
        <v>Merchant_034</v>
      </c>
      <c r="J248" t="str">
        <f>_xlfn.IFNA(VLOOKUP(C248,merchants!$A$2:$D$41,3,FALSE),"Merchant not found")</f>
        <v>travel</v>
      </c>
      <c r="K248" t="str">
        <f>_xlfn.IFNA(VLOOKUP(C248,merchants!$A$2:$D$41,4,FALSE),"Merchant not found")</f>
        <v>South</v>
      </c>
      <c r="L248">
        <f t="shared" si="9"/>
        <v>46045</v>
      </c>
      <c r="M248">
        <f t="shared" si="10"/>
        <v>0</v>
      </c>
      <c r="N248" t="str">
        <f t="shared" si="11"/>
        <v>Standard</v>
      </c>
      <c r="O248">
        <f>HLOOKUP(F248,fee_lookup!$B$1:$E$2,2,FALSE)</f>
        <v>2E-3</v>
      </c>
    </row>
    <row r="249" spans="1:15" x14ac:dyDescent="0.3">
      <c r="A249" t="s">
        <v>793</v>
      </c>
      <c r="B249" t="s">
        <v>420</v>
      </c>
      <c r="C249" t="s">
        <v>62</v>
      </c>
      <c r="D249" t="s">
        <v>794</v>
      </c>
      <c r="E249" t="s">
        <v>140</v>
      </c>
      <c r="F249" t="s">
        <v>113</v>
      </c>
      <c r="G249" t="s">
        <v>107</v>
      </c>
      <c r="H249" t="s">
        <v>415</v>
      </c>
      <c r="I249" t="str">
        <f>_xlfn.IFNA(VLOOKUP(C249,merchants!$A$2:$D$41,2,FALSE),"Merchant not found")</f>
        <v>Merchant_025</v>
      </c>
      <c r="J249" t="str">
        <f>_xlfn.IFNA(VLOOKUP(C249,merchants!$A$2:$D$41,3,FALSE),"Merchant not found")</f>
        <v>travel</v>
      </c>
      <c r="K249" t="str">
        <f>_xlfn.IFNA(VLOOKUP(C249,merchants!$A$2:$D$41,4,FALSE),"Merchant not found")</f>
        <v>South</v>
      </c>
      <c r="L249">
        <f t="shared" si="9"/>
        <v>46028</v>
      </c>
      <c r="M249">
        <f t="shared" si="10"/>
        <v>0</v>
      </c>
      <c r="N249" t="str">
        <f t="shared" si="11"/>
        <v>Standard</v>
      </c>
      <c r="O249">
        <f>HLOOKUP(F249,fee_lookup!$B$1:$E$2,2,FALSE)</f>
        <v>2E-3</v>
      </c>
    </row>
    <row r="250" spans="1:15" x14ac:dyDescent="0.3">
      <c r="A250" t="s">
        <v>795</v>
      </c>
      <c r="B250" t="s">
        <v>796</v>
      </c>
      <c r="C250" t="s">
        <v>15</v>
      </c>
      <c r="D250" t="s">
        <v>797</v>
      </c>
      <c r="E250" t="s">
        <v>118</v>
      </c>
      <c r="F250" t="s">
        <v>113</v>
      </c>
      <c r="G250" t="s">
        <v>107</v>
      </c>
      <c r="H250" t="s">
        <v>409</v>
      </c>
      <c r="I250" t="str">
        <f>_xlfn.IFNA(VLOOKUP(C250,merchants!$A$2:$D$41,2,FALSE),"Merchant not found")</f>
        <v>Merchant_004</v>
      </c>
      <c r="J250" t="str">
        <f>_xlfn.IFNA(VLOOKUP(C250,merchants!$A$2:$D$41,3,FALSE),"Merchant not found")</f>
        <v>ecommerce</v>
      </c>
      <c r="K250" t="str">
        <f>_xlfn.IFNA(VLOOKUP(C250,merchants!$A$2:$D$41,4,FALSE),"Merchant not found")</f>
        <v>East</v>
      </c>
      <c r="L250">
        <f t="shared" si="9"/>
        <v>46047</v>
      </c>
      <c r="M250">
        <f t="shared" si="10"/>
        <v>0</v>
      </c>
      <c r="N250" t="str">
        <f t="shared" si="11"/>
        <v>Standard</v>
      </c>
      <c r="O250">
        <f>HLOOKUP(F250,fee_lookup!$B$1:$E$2,2,FALSE)</f>
        <v>2E-3</v>
      </c>
    </row>
    <row r="251" spans="1:15" x14ac:dyDescent="0.3">
      <c r="A251" t="s">
        <v>798</v>
      </c>
      <c r="B251" t="s">
        <v>682</v>
      </c>
      <c r="C251" t="s">
        <v>23</v>
      </c>
      <c r="D251" t="s">
        <v>799</v>
      </c>
      <c r="E251" t="s">
        <v>118</v>
      </c>
      <c r="F251" t="s">
        <v>106</v>
      </c>
      <c r="G251" t="s">
        <v>107</v>
      </c>
      <c r="H251" t="s">
        <v>592</v>
      </c>
      <c r="I251" t="str">
        <f>_xlfn.IFNA(VLOOKUP(C251,merchants!$A$2:$D$41,2,FALSE),"Merchant not found")</f>
        <v>Merchant_007</v>
      </c>
      <c r="J251" t="str">
        <f>_xlfn.IFNA(VLOOKUP(C251,merchants!$A$2:$D$41,3,FALSE),"Merchant not found")</f>
        <v>food_delivery</v>
      </c>
      <c r="K251" t="str">
        <f>_xlfn.IFNA(VLOOKUP(C251,merchants!$A$2:$D$41,4,FALSE),"Merchant not found")</f>
        <v>East</v>
      </c>
      <c r="L251">
        <f t="shared" si="9"/>
        <v>46043</v>
      </c>
      <c r="M251">
        <f t="shared" si="10"/>
        <v>0</v>
      </c>
      <c r="N251" t="str">
        <f t="shared" si="11"/>
        <v>Standard</v>
      </c>
      <c r="O251">
        <f>HLOOKUP(F251,fee_lookup!$B$1:$E$2,2,FALSE)</f>
        <v>0.01</v>
      </c>
    </row>
    <row r="252" spans="1:15" x14ac:dyDescent="0.3">
      <c r="A252" t="s">
        <v>800</v>
      </c>
      <c r="B252" t="s">
        <v>801</v>
      </c>
      <c r="C252" t="s">
        <v>91</v>
      </c>
      <c r="D252" t="s">
        <v>802</v>
      </c>
      <c r="E252" t="s">
        <v>105</v>
      </c>
      <c r="F252" t="s">
        <v>106</v>
      </c>
      <c r="G252" t="s">
        <v>107</v>
      </c>
      <c r="H252" t="s">
        <v>50</v>
      </c>
      <c r="I252" t="str">
        <f>_xlfn.IFNA(VLOOKUP(C252,merchants!$A$2:$D$41,2,FALSE),"Merchant not found")</f>
        <v>Merchant_039</v>
      </c>
      <c r="J252" t="str">
        <f>_xlfn.IFNA(VLOOKUP(C252,merchants!$A$2:$D$41,3,FALSE),"Merchant not found")</f>
        <v>entertainment</v>
      </c>
      <c r="K252" t="str">
        <f>_xlfn.IFNA(VLOOKUP(C252,merchants!$A$2:$D$41,4,FALSE),"Merchant not found")</f>
        <v>North</v>
      </c>
      <c r="L252">
        <f t="shared" si="9"/>
        <v>46044</v>
      </c>
      <c r="M252">
        <f t="shared" si="10"/>
        <v>0</v>
      </c>
      <c r="N252" t="str">
        <f t="shared" si="11"/>
        <v>Standard</v>
      </c>
      <c r="O252">
        <f>HLOOKUP(F252,fee_lookup!$B$1:$E$2,2,FALSE)</f>
        <v>0.01</v>
      </c>
    </row>
    <row r="253" spans="1:15" x14ac:dyDescent="0.3">
      <c r="A253" t="s">
        <v>803</v>
      </c>
      <c r="B253" t="s">
        <v>361</v>
      </c>
      <c r="C253" t="s">
        <v>30</v>
      </c>
      <c r="D253" t="s">
        <v>804</v>
      </c>
      <c r="E253" t="s">
        <v>112</v>
      </c>
      <c r="F253" t="s">
        <v>154</v>
      </c>
      <c r="G253" t="s">
        <v>107</v>
      </c>
      <c r="H253" t="s">
        <v>141</v>
      </c>
      <c r="I253" t="str">
        <f>_xlfn.IFNA(VLOOKUP(C253,merchants!$A$2:$D$41,2,FALSE),"Merchant not found")</f>
        <v>Merchant_010</v>
      </c>
      <c r="J253" t="str">
        <f>_xlfn.IFNA(VLOOKUP(C253,merchants!$A$2:$D$41,3,FALSE),"Merchant not found")</f>
        <v>grocery</v>
      </c>
      <c r="K253" t="str">
        <f>_xlfn.IFNA(VLOOKUP(C253,merchants!$A$2:$D$41,4,FALSE),"Merchant not found")</f>
        <v>West</v>
      </c>
      <c r="L253">
        <f t="shared" si="9"/>
        <v>46033</v>
      </c>
      <c r="M253">
        <f t="shared" si="10"/>
        <v>0</v>
      </c>
      <c r="N253" t="str">
        <f t="shared" si="11"/>
        <v>Standard</v>
      </c>
      <c r="O253">
        <f>HLOOKUP(F253,fee_lookup!$B$1:$E$2,2,FALSE)</f>
        <v>1.7999999999999999E-2</v>
      </c>
    </row>
    <row r="254" spans="1:15" x14ac:dyDescent="0.3">
      <c r="A254" t="s">
        <v>805</v>
      </c>
      <c r="B254" t="s">
        <v>361</v>
      </c>
      <c r="C254" t="s">
        <v>64</v>
      </c>
      <c r="D254" t="s">
        <v>806</v>
      </c>
      <c r="E254" t="s">
        <v>145</v>
      </c>
      <c r="F254" t="s">
        <v>154</v>
      </c>
      <c r="G254" t="s">
        <v>107</v>
      </c>
      <c r="H254" t="s">
        <v>43</v>
      </c>
      <c r="I254" t="str">
        <f>_xlfn.IFNA(VLOOKUP(C254,merchants!$A$2:$D$41,2,FALSE),"Merchant not found")</f>
        <v>Merchant_026</v>
      </c>
      <c r="J254" t="str">
        <f>_xlfn.IFNA(VLOOKUP(C254,merchants!$A$2:$D$41,3,FALSE),"Merchant not found")</f>
        <v>food_delivery</v>
      </c>
      <c r="K254" t="str">
        <f>_xlfn.IFNA(VLOOKUP(C254,merchants!$A$2:$D$41,4,FALSE),"Merchant not found")</f>
        <v>East</v>
      </c>
      <c r="L254">
        <f t="shared" si="9"/>
        <v>46032</v>
      </c>
      <c r="M254">
        <f t="shared" si="10"/>
        <v>0</v>
      </c>
      <c r="N254" t="str">
        <f t="shared" si="11"/>
        <v>Standard</v>
      </c>
      <c r="O254">
        <f>HLOOKUP(F254,fee_lookup!$B$1:$E$2,2,FALSE)</f>
        <v>1.7999999999999999E-2</v>
      </c>
    </row>
    <row r="255" spans="1:15" x14ac:dyDescent="0.3">
      <c r="A255" t="s">
        <v>807</v>
      </c>
      <c r="B255" t="s">
        <v>203</v>
      </c>
      <c r="C255" t="s">
        <v>84</v>
      </c>
      <c r="D255" t="s">
        <v>808</v>
      </c>
      <c r="E255" t="s">
        <v>112</v>
      </c>
      <c r="F255" t="s">
        <v>113</v>
      </c>
      <c r="G255" t="s">
        <v>107</v>
      </c>
      <c r="H255" t="s">
        <v>809</v>
      </c>
      <c r="I255" t="str">
        <f>_xlfn.IFNA(VLOOKUP(C255,merchants!$A$2:$D$41,2,FALSE),"Merchant not found")</f>
        <v>Merchant_036</v>
      </c>
      <c r="J255" t="str">
        <f>_xlfn.IFNA(VLOOKUP(C255,merchants!$A$2:$D$41,3,FALSE),"Merchant not found")</f>
        <v>entertainment</v>
      </c>
      <c r="K255" t="str">
        <f>_xlfn.IFNA(VLOOKUP(C255,merchants!$A$2:$D$41,4,FALSE),"Merchant not found")</f>
        <v>East</v>
      </c>
      <c r="L255">
        <f t="shared" si="9"/>
        <v>46042</v>
      </c>
      <c r="M255">
        <f t="shared" si="10"/>
        <v>0</v>
      </c>
      <c r="N255" t="str">
        <f t="shared" si="11"/>
        <v>Standard</v>
      </c>
      <c r="O255">
        <f>HLOOKUP(F255,fee_lookup!$B$1:$E$2,2,FALSE)</f>
        <v>2E-3</v>
      </c>
    </row>
    <row r="256" spans="1:15" x14ac:dyDescent="0.3">
      <c r="A256" t="s">
        <v>810</v>
      </c>
      <c r="B256" t="s">
        <v>811</v>
      </c>
      <c r="C256" t="s">
        <v>80</v>
      </c>
      <c r="D256" t="s">
        <v>812</v>
      </c>
      <c r="E256" t="s">
        <v>140</v>
      </c>
      <c r="F256" t="s">
        <v>113</v>
      </c>
      <c r="G256" t="s">
        <v>107</v>
      </c>
      <c r="H256" t="s">
        <v>32</v>
      </c>
      <c r="I256" t="str">
        <f>_xlfn.IFNA(VLOOKUP(C256,merchants!$A$2:$D$41,2,FALSE),"Merchant not found")</f>
        <v>Merchant_034</v>
      </c>
      <c r="J256" t="str">
        <f>_xlfn.IFNA(VLOOKUP(C256,merchants!$A$2:$D$41,3,FALSE),"Merchant not found")</f>
        <v>travel</v>
      </c>
      <c r="K256" t="str">
        <f>_xlfn.IFNA(VLOOKUP(C256,merchants!$A$2:$D$41,4,FALSE),"Merchant not found")</f>
        <v>South</v>
      </c>
      <c r="L256">
        <f t="shared" si="9"/>
        <v>46043</v>
      </c>
      <c r="M256">
        <f t="shared" si="10"/>
        <v>0</v>
      </c>
      <c r="N256" t="str">
        <f t="shared" si="11"/>
        <v>Standard</v>
      </c>
      <c r="O256">
        <f>HLOOKUP(F256,fee_lookup!$B$1:$E$2,2,FALSE)</f>
        <v>2E-3</v>
      </c>
    </row>
    <row r="257" spans="1:15" x14ac:dyDescent="0.3">
      <c r="A257" t="s">
        <v>813</v>
      </c>
      <c r="B257" t="s">
        <v>814</v>
      </c>
      <c r="C257" t="s">
        <v>60</v>
      </c>
      <c r="D257" t="s">
        <v>815</v>
      </c>
      <c r="E257" t="s">
        <v>140</v>
      </c>
      <c r="F257" t="s">
        <v>154</v>
      </c>
      <c r="G257" t="s">
        <v>107</v>
      </c>
      <c r="H257" t="s">
        <v>8</v>
      </c>
      <c r="I257" t="str">
        <f>_xlfn.IFNA(VLOOKUP(C257,merchants!$A$2:$D$41,2,FALSE),"Merchant not found")</f>
        <v>Merchant_024</v>
      </c>
      <c r="J257" t="str">
        <f>_xlfn.IFNA(VLOOKUP(C257,merchants!$A$2:$D$41,3,FALSE),"Merchant not found")</f>
        <v>grocery</v>
      </c>
      <c r="K257" t="str">
        <f>_xlfn.IFNA(VLOOKUP(C257,merchants!$A$2:$D$41,4,FALSE),"Merchant not found")</f>
        <v>North</v>
      </c>
      <c r="L257">
        <f t="shared" si="9"/>
        <v>46043</v>
      </c>
      <c r="M257">
        <f t="shared" si="10"/>
        <v>0</v>
      </c>
      <c r="N257" t="str">
        <f t="shared" si="11"/>
        <v>Standard</v>
      </c>
      <c r="O257">
        <f>HLOOKUP(F257,fee_lookup!$B$1:$E$2,2,FALSE)</f>
        <v>1.7999999999999999E-2</v>
      </c>
    </row>
    <row r="258" spans="1:15" x14ac:dyDescent="0.3">
      <c r="A258" t="s">
        <v>816</v>
      </c>
      <c r="B258" t="s">
        <v>193</v>
      </c>
      <c r="C258" t="s">
        <v>56</v>
      </c>
      <c r="D258" t="s">
        <v>817</v>
      </c>
      <c r="E258" t="s">
        <v>140</v>
      </c>
      <c r="F258" t="s">
        <v>113</v>
      </c>
      <c r="G258" t="s">
        <v>107</v>
      </c>
      <c r="H258" t="s">
        <v>238</v>
      </c>
      <c r="I258" t="str">
        <f>_xlfn.IFNA(VLOOKUP(C258,merchants!$A$2:$D$41,2,FALSE),"Merchant not found")</f>
        <v>Merchant_022</v>
      </c>
      <c r="J258" t="str">
        <f>_xlfn.IFNA(VLOOKUP(C258,merchants!$A$2:$D$41,3,FALSE),"Merchant not found")</f>
        <v>travel</v>
      </c>
      <c r="K258" t="str">
        <f>_xlfn.IFNA(VLOOKUP(C258,merchants!$A$2:$D$41,4,FALSE),"Merchant not found")</f>
        <v>South</v>
      </c>
      <c r="L258">
        <f t="shared" ref="L258:L321" si="12">DATE(LEFT(D258,4),MID(D258,6,2),MID(D258,9,2))</f>
        <v>46034</v>
      </c>
      <c r="M258">
        <f t="shared" ref="M258:M321" si="13">SUMIFS($E:$E,$C:$C,C258,$L:$L,L258)</f>
        <v>0</v>
      </c>
      <c r="N258" t="str">
        <f t="shared" ref="N258:N321" si="14">IF(AND(M258&gt;5000,K258&lt;&gt;"East"),"High-Value Merchant Day","Standard")</f>
        <v>Standard</v>
      </c>
      <c r="O258">
        <f>HLOOKUP(F258,fee_lookup!$B$1:$E$2,2,FALSE)</f>
        <v>2E-3</v>
      </c>
    </row>
    <row r="259" spans="1:15" x14ac:dyDescent="0.3">
      <c r="A259" t="s">
        <v>818</v>
      </c>
      <c r="B259" t="s">
        <v>592</v>
      </c>
      <c r="C259" t="s">
        <v>30</v>
      </c>
      <c r="D259" t="s">
        <v>819</v>
      </c>
      <c r="E259" t="s">
        <v>112</v>
      </c>
      <c r="F259" t="s">
        <v>113</v>
      </c>
      <c r="G259" t="s">
        <v>107</v>
      </c>
      <c r="H259" t="s">
        <v>28</v>
      </c>
      <c r="I259" t="str">
        <f>_xlfn.IFNA(VLOOKUP(C259,merchants!$A$2:$D$41,2,FALSE),"Merchant not found")</f>
        <v>Merchant_010</v>
      </c>
      <c r="J259" t="str">
        <f>_xlfn.IFNA(VLOOKUP(C259,merchants!$A$2:$D$41,3,FALSE),"Merchant not found")</f>
        <v>grocery</v>
      </c>
      <c r="K259" t="str">
        <f>_xlfn.IFNA(VLOOKUP(C259,merchants!$A$2:$D$41,4,FALSE),"Merchant not found")</f>
        <v>West</v>
      </c>
      <c r="L259">
        <f t="shared" si="12"/>
        <v>46038</v>
      </c>
      <c r="M259">
        <f t="shared" si="13"/>
        <v>0</v>
      </c>
      <c r="N259" t="str">
        <f t="shared" si="14"/>
        <v>Standard</v>
      </c>
      <c r="O259">
        <f>HLOOKUP(F259,fee_lookup!$B$1:$E$2,2,FALSE)</f>
        <v>2E-3</v>
      </c>
    </row>
    <row r="260" spans="1:15" x14ac:dyDescent="0.3">
      <c r="A260" t="s">
        <v>820</v>
      </c>
      <c r="B260" t="s">
        <v>245</v>
      </c>
      <c r="C260" t="s">
        <v>80</v>
      </c>
      <c r="D260" t="s">
        <v>821</v>
      </c>
      <c r="E260" t="s">
        <v>112</v>
      </c>
      <c r="F260" t="s">
        <v>113</v>
      </c>
      <c r="G260" t="s">
        <v>107</v>
      </c>
      <c r="H260" t="s">
        <v>15</v>
      </c>
      <c r="I260" t="str">
        <f>_xlfn.IFNA(VLOOKUP(C260,merchants!$A$2:$D$41,2,FALSE),"Merchant not found")</f>
        <v>Merchant_034</v>
      </c>
      <c r="J260" t="str">
        <f>_xlfn.IFNA(VLOOKUP(C260,merchants!$A$2:$D$41,3,FALSE),"Merchant not found")</f>
        <v>travel</v>
      </c>
      <c r="K260" t="str">
        <f>_xlfn.IFNA(VLOOKUP(C260,merchants!$A$2:$D$41,4,FALSE),"Merchant not found")</f>
        <v>South</v>
      </c>
      <c r="L260">
        <f t="shared" si="12"/>
        <v>46032</v>
      </c>
      <c r="M260">
        <f t="shared" si="13"/>
        <v>0</v>
      </c>
      <c r="N260" t="str">
        <f t="shared" si="14"/>
        <v>Standard</v>
      </c>
      <c r="O260">
        <f>HLOOKUP(F260,fee_lookup!$B$1:$E$2,2,FALSE)</f>
        <v>2E-3</v>
      </c>
    </row>
    <row r="261" spans="1:15" x14ac:dyDescent="0.3">
      <c r="A261" t="s">
        <v>822</v>
      </c>
      <c r="B261" t="s">
        <v>823</v>
      </c>
      <c r="C261" t="s">
        <v>28</v>
      </c>
      <c r="D261" t="s">
        <v>824</v>
      </c>
      <c r="E261" t="s">
        <v>220</v>
      </c>
      <c r="F261" t="s">
        <v>106</v>
      </c>
      <c r="G261" t="s">
        <v>107</v>
      </c>
      <c r="H261" t="s">
        <v>228</v>
      </c>
      <c r="I261" t="str">
        <f>_xlfn.IFNA(VLOOKUP(C261,merchants!$A$2:$D$41,2,FALSE),"Merchant not found")</f>
        <v>Merchant_009</v>
      </c>
      <c r="J261" t="str">
        <f>_xlfn.IFNA(VLOOKUP(C261,merchants!$A$2:$D$41,3,FALSE),"Merchant not found")</f>
        <v>ecommerce</v>
      </c>
      <c r="K261" t="str">
        <f>_xlfn.IFNA(VLOOKUP(C261,merchants!$A$2:$D$41,4,FALSE),"Merchant not found")</f>
        <v>North</v>
      </c>
      <c r="L261">
        <f t="shared" si="12"/>
        <v>46044</v>
      </c>
      <c r="M261">
        <f t="shared" si="13"/>
        <v>0</v>
      </c>
      <c r="N261" t="str">
        <f t="shared" si="14"/>
        <v>Standard</v>
      </c>
      <c r="O261">
        <f>HLOOKUP(F261,fee_lookup!$B$1:$E$2,2,FALSE)</f>
        <v>0.01</v>
      </c>
    </row>
    <row r="262" spans="1:15" x14ac:dyDescent="0.3">
      <c r="A262" t="s">
        <v>825</v>
      </c>
      <c r="B262" t="s">
        <v>756</v>
      </c>
      <c r="C262" t="s">
        <v>93</v>
      </c>
      <c r="D262" t="s">
        <v>826</v>
      </c>
      <c r="E262" t="s">
        <v>145</v>
      </c>
      <c r="F262" t="s">
        <v>113</v>
      </c>
      <c r="G262" t="s">
        <v>107</v>
      </c>
      <c r="H262" t="s">
        <v>54</v>
      </c>
      <c r="I262" t="str">
        <f>_xlfn.IFNA(VLOOKUP(C262,merchants!$A$2:$D$41,2,FALSE),"Merchant not found")</f>
        <v>Merchant_040</v>
      </c>
      <c r="J262" t="str">
        <f>_xlfn.IFNA(VLOOKUP(C262,merchants!$A$2:$D$41,3,FALSE),"Merchant not found")</f>
        <v>entertainment</v>
      </c>
      <c r="K262" t="str">
        <f>_xlfn.IFNA(VLOOKUP(C262,merchants!$A$2:$D$41,4,FALSE),"Merchant not found")</f>
        <v>South</v>
      </c>
      <c r="L262">
        <f t="shared" si="12"/>
        <v>46035</v>
      </c>
      <c r="M262">
        <f t="shared" si="13"/>
        <v>0</v>
      </c>
      <c r="N262" t="str">
        <f t="shared" si="14"/>
        <v>Standard</v>
      </c>
      <c r="O262">
        <f>HLOOKUP(F262,fee_lookup!$B$1:$E$2,2,FALSE)</f>
        <v>2E-3</v>
      </c>
    </row>
    <row r="263" spans="1:15" x14ac:dyDescent="0.3">
      <c r="A263" t="s">
        <v>827</v>
      </c>
      <c r="B263" t="s">
        <v>458</v>
      </c>
      <c r="C263" t="s">
        <v>60</v>
      </c>
      <c r="D263" t="s">
        <v>828</v>
      </c>
      <c r="E263" t="s">
        <v>127</v>
      </c>
      <c r="F263" t="s">
        <v>122</v>
      </c>
      <c r="G263" t="s">
        <v>107</v>
      </c>
      <c r="H263" t="s">
        <v>180</v>
      </c>
      <c r="I263" t="str">
        <f>_xlfn.IFNA(VLOOKUP(C263,merchants!$A$2:$D$41,2,FALSE),"Merchant not found")</f>
        <v>Merchant_024</v>
      </c>
      <c r="J263" t="str">
        <f>_xlfn.IFNA(VLOOKUP(C263,merchants!$A$2:$D$41,3,FALSE),"Merchant not found")</f>
        <v>grocery</v>
      </c>
      <c r="K263" t="str">
        <f>_xlfn.IFNA(VLOOKUP(C263,merchants!$A$2:$D$41,4,FALSE),"Merchant not found")</f>
        <v>North</v>
      </c>
      <c r="L263">
        <f t="shared" si="12"/>
        <v>46046</v>
      </c>
      <c r="M263">
        <f t="shared" si="13"/>
        <v>0</v>
      </c>
      <c r="N263" t="str">
        <f t="shared" si="14"/>
        <v>Standard</v>
      </c>
      <c r="O263">
        <f>HLOOKUP(F263,fee_lookup!$B$1:$E$2,2,FALSE)</f>
        <v>1.2E-2</v>
      </c>
    </row>
    <row r="264" spans="1:15" x14ac:dyDescent="0.3">
      <c r="A264" t="s">
        <v>829</v>
      </c>
      <c r="B264" t="s">
        <v>830</v>
      </c>
      <c r="C264" t="s">
        <v>50</v>
      </c>
      <c r="D264" t="s">
        <v>831</v>
      </c>
      <c r="E264" t="s">
        <v>227</v>
      </c>
      <c r="F264" t="s">
        <v>113</v>
      </c>
      <c r="G264" t="s">
        <v>107</v>
      </c>
      <c r="H264" t="s">
        <v>296</v>
      </c>
      <c r="I264" t="str">
        <f>_xlfn.IFNA(VLOOKUP(C264,merchants!$A$2:$D$41,2,FALSE),"Merchant not found")</f>
        <v>Merchant_019</v>
      </c>
      <c r="J264" t="str">
        <f>_xlfn.IFNA(VLOOKUP(C264,merchants!$A$2:$D$41,3,FALSE),"Merchant not found")</f>
        <v>grocery</v>
      </c>
      <c r="K264" t="str">
        <f>_xlfn.IFNA(VLOOKUP(C264,merchants!$A$2:$D$41,4,FALSE),"Merchant not found")</f>
        <v>North</v>
      </c>
      <c r="L264">
        <f t="shared" si="12"/>
        <v>46046</v>
      </c>
      <c r="M264">
        <f t="shared" si="13"/>
        <v>0</v>
      </c>
      <c r="N264" t="str">
        <f t="shared" si="14"/>
        <v>Standard</v>
      </c>
      <c r="O264">
        <f>HLOOKUP(F264,fee_lookup!$B$1:$E$2,2,FALSE)</f>
        <v>2E-3</v>
      </c>
    </row>
    <row r="265" spans="1:15" x14ac:dyDescent="0.3">
      <c r="A265" t="s">
        <v>832</v>
      </c>
      <c r="B265" t="s">
        <v>276</v>
      </c>
      <c r="C265" t="s">
        <v>43</v>
      </c>
      <c r="D265" t="s">
        <v>833</v>
      </c>
      <c r="E265" t="s">
        <v>112</v>
      </c>
      <c r="F265" t="s">
        <v>106</v>
      </c>
      <c r="G265" t="s">
        <v>155</v>
      </c>
      <c r="H265" t="s">
        <v>91</v>
      </c>
      <c r="I265" t="str">
        <f>_xlfn.IFNA(VLOOKUP(C265,merchants!$A$2:$D$41,2,FALSE),"Merchant not found")</f>
        <v>Merchant_016</v>
      </c>
      <c r="J265" t="str">
        <f>_xlfn.IFNA(VLOOKUP(C265,merchants!$A$2:$D$41,3,FALSE),"Merchant not found")</f>
        <v>bill_payment</v>
      </c>
      <c r="K265" t="str">
        <f>_xlfn.IFNA(VLOOKUP(C265,merchants!$A$2:$D$41,4,FALSE),"Merchant not found")</f>
        <v>West</v>
      </c>
      <c r="L265">
        <f t="shared" si="12"/>
        <v>46046</v>
      </c>
      <c r="M265">
        <f t="shared" si="13"/>
        <v>0</v>
      </c>
      <c r="N265" t="str">
        <f t="shared" si="14"/>
        <v>Standard</v>
      </c>
      <c r="O265">
        <f>HLOOKUP(F265,fee_lookup!$B$1:$E$2,2,FALSE)</f>
        <v>0.01</v>
      </c>
    </row>
    <row r="266" spans="1:15" x14ac:dyDescent="0.3">
      <c r="A266" t="s">
        <v>834</v>
      </c>
      <c r="B266" t="s">
        <v>123</v>
      </c>
      <c r="C266" t="s">
        <v>60</v>
      </c>
      <c r="D266" t="s">
        <v>835</v>
      </c>
      <c r="E266" t="s">
        <v>145</v>
      </c>
      <c r="F266" t="s">
        <v>113</v>
      </c>
      <c r="G266" t="s">
        <v>107</v>
      </c>
      <c r="H266" t="s">
        <v>180</v>
      </c>
      <c r="I266" t="str">
        <f>_xlfn.IFNA(VLOOKUP(C266,merchants!$A$2:$D$41,2,FALSE),"Merchant not found")</f>
        <v>Merchant_024</v>
      </c>
      <c r="J266" t="str">
        <f>_xlfn.IFNA(VLOOKUP(C266,merchants!$A$2:$D$41,3,FALSE),"Merchant not found")</f>
        <v>grocery</v>
      </c>
      <c r="K266" t="str">
        <f>_xlfn.IFNA(VLOOKUP(C266,merchants!$A$2:$D$41,4,FALSE),"Merchant not found")</f>
        <v>North</v>
      </c>
      <c r="L266">
        <f t="shared" si="12"/>
        <v>46048</v>
      </c>
      <c r="M266">
        <f t="shared" si="13"/>
        <v>0</v>
      </c>
      <c r="N266" t="str">
        <f t="shared" si="14"/>
        <v>Standard</v>
      </c>
      <c r="O266">
        <f>HLOOKUP(F266,fee_lookup!$B$1:$E$2,2,FALSE)</f>
        <v>2E-3</v>
      </c>
    </row>
    <row r="267" spans="1:15" x14ac:dyDescent="0.3">
      <c r="A267" t="s">
        <v>836</v>
      </c>
      <c r="B267" t="s">
        <v>420</v>
      </c>
      <c r="C267" t="s">
        <v>62</v>
      </c>
      <c r="D267" t="s">
        <v>837</v>
      </c>
      <c r="E267" t="s">
        <v>105</v>
      </c>
      <c r="F267" t="s">
        <v>106</v>
      </c>
      <c r="G267" t="s">
        <v>107</v>
      </c>
      <c r="H267" t="s">
        <v>323</v>
      </c>
      <c r="I267" t="str">
        <f>_xlfn.IFNA(VLOOKUP(C267,merchants!$A$2:$D$41,2,FALSE),"Merchant not found")</f>
        <v>Merchant_025</v>
      </c>
      <c r="J267" t="str">
        <f>_xlfn.IFNA(VLOOKUP(C267,merchants!$A$2:$D$41,3,FALSE),"Merchant not found")</f>
        <v>travel</v>
      </c>
      <c r="K267" t="str">
        <f>_xlfn.IFNA(VLOOKUP(C267,merchants!$A$2:$D$41,4,FALSE),"Merchant not found")</f>
        <v>South</v>
      </c>
      <c r="L267">
        <f t="shared" si="12"/>
        <v>46041</v>
      </c>
      <c r="M267">
        <f t="shared" si="13"/>
        <v>0</v>
      </c>
      <c r="N267" t="str">
        <f t="shared" si="14"/>
        <v>Standard</v>
      </c>
      <c r="O267">
        <f>HLOOKUP(F267,fee_lookup!$B$1:$E$2,2,FALSE)</f>
        <v>0.01</v>
      </c>
    </row>
    <row r="268" spans="1:15" x14ac:dyDescent="0.3">
      <c r="A268" t="s">
        <v>838</v>
      </c>
      <c r="B268" t="s">
        <v>839</v>
      </c>
      <c r="C268" t="s">
        <v>91</v>
      </c>
      <c r="D268" t="s">
        <v>840</v>
      </c>
      <c r="E268" t="s">
        <v>105</v>
      </c>
      <c r="F268" t="s">
        <v>106</v>
      </c>
      <c r="G268" t="s">
        <v>107</v>
      </c>
      <c r="H268" t="s">
        <v>46</v>
      </c>
      <c r="I268" t="str">
        <f>_xlfn.IFNA(VLOOKUP(C268,merchants!$A$2:$D$41,2,FALSE),"Merchant not found")</f>
        <v>Merchant_039</v>
      </c>
      <c r="J268" t="str">
        <f>_xlfn.IFNA(VLOOKUP(C268,merchants!$A$2:$D$41,3,FALSE),"Merchant not found")</f>
        <v>entertainment</v>
      </c>
      <c r="K268" t="str">
        <f>_xlfn.IFNA(VLOOKUP(C268,merchants!$A$2:$D$41,4,FALSE),"Merchant not found")</f>
        <v>North</v>
      </c>
      <c r="L268">
        <f t="shared" si="12"/>
        <v>46039</v>
      </c>
      <c r="M268">
        <f t="shared" si="13"/>
        <v>0</v>
      </c>
      <c r="N268" t="str">
        <f t="shared" si="14"/>
        <v>Standard</v>
      </c>
      <c r="O268">
        <f>HLOOKUP(F268,fee_lookup!$B$1:$E$2,2,FALSE)</f>
        <v>0.01</v>
      </c>
    </row>
    <row r="269" spans="1:15" x14ac:dyDescent="0.3">
      <c r="A269" t="s">
        <v>841</v>
      </c>
      <c r="B269" t="s">
        <v>842</v>
      </c>
      <c r="C269" t="s">
        <v>74</v>
      </c>
      <c r="D269" t="s">
        <v>843</v>
      </c>
      <c r="E269" t="s">
        <v>145</v>
      </c>
      <c r="F269" t="s">
        <v>106</v>
      </c>
      <c r="G269" t="s">
        <v>107</v>
      </c>
      <c r="H269" t="s">
        <v>363</v>
      </c>
      <c r="I269" t="str">
        <f>_xlfn.IFNA(VLOOKUP(C269,merchants!$A$2:$D$41,2,FALSE),"Merchant not found")</f>
        <v>Merchant_031</v>
      </c>
      <c r="J269" t="str">
        <f>_xlfn.IFNA(VLOOKUP(C269,merchants!$A$2:$D$41,3,FALSE),"Merchant not found")</f>
        <v>bill_payment</v>
      </c>
      <c r="K269" t="str">
        <f>_xlfn.IFNA(VLOOKUP(C269,merchants!$A$2:$D$41,4,FALSE),"Merchant not found")</f>
        <v>East</v>
      </c>
      <c r="L269">
        <f t="shared" si="12"/>
        <v>46050</v>
      </c>
      <c r="M269">
        <f t="shared" si="13"/>
        <v>0</v>
      </c>
      <c r="N269" t="str">
        <f t="shared" si="14"/>
        <v>Standard</v>
      </c>
      <c r="O269">
        <f>HLOOKUP(F269,fee_lookup!$B$1:$E$2,2,FALSE)</f>
        <v>0.01</v>
      </c>
    </row>
    <row r="270" spans="1:15" x14ac:dyDescent="0.3">
      <c r="A270" t="s">
        <v>844</v>
      </c>
      <c r="B270" t="s">
        <v>845</v>
      </c>
      <c r="C270" t="s">
        <v>25</v>
      </c>
      <c r="D270" t="s">
        <v>846</v>
      </c>
      <c r="E270" t="s">
        <v>220</v>
      </c>
      <c r="F270" t="s">
        <v>122</v>
      </c>
      <c r="G270" t="s">
        <v>107</v>
      </c>
      <c r="H270" t="s">
        <v>84</v>
      </c>
      <c r="I270" t="str">
        <f>_xlfn.IFNA(VLOOKUP(C270,merchants!$A$2:$D$41,2,FALSE),"Merchant not found")</f>
        <v>Merchant_008</v>
      </c>
      <c r="J270" t="str">
        <f>_xlfn.IFNA(VLOOKUP(C270,merchants!$A$2:$D$41,3,FALSE),"Merchant not found")</f>
        <v>food_delivery</v>
      </c>
      <c r="K270" t="str">
        <f>_xlfn.IFNA(VLOOKUP(C270,merchants!$A$2:$D$41,4,FALSE),"Merchant not found")</f>
        <v>North</v>
      </c>
      <c r="L270">
        <f t="shared" si="12"/>
        <v>46040</v>
      </c>
      <c r="M270">
        <f t="shared" si="13"/>
        <v>0</v>
      </c>
      <c r="N270" t="str">
        <f t="shared" si="14"/>
        <v>Standard</v>
      </c>
      <c r="O270">
        <f>HLOOKUP(F270,fee_lookup!$B$1:$E$2,2,FALSE)</f>
        <v>1.2E-2</v>
      </c>
    </row>
    <row r="271" spans="1:15" x14ac:dyDescent="0.3">
      <c r="A271" t="s">
        <v>847</v>
      </c>
      <c r="B271" t="s">
        <v>337</v>
      </c>
      <c r="C271" t="s">
        <v>78</v>
      </c>
      <c r="D271" t="s">
        <v>848</v>
      </c>
      <c r="E271" t="s">
        <v>227</v>
      </c>
      <c r="F271" t="s">
        <v>113</v>
      </c>
      <c r="G271" t="s">
        <v>155</v>
      </c>
      <c r="H271" t="s">
        <v>48</v>
      </c>
      <c r="I271" t="str">
        <f>_xlfn.IFNA(VLOOKUP(C271,merchants!$A$2:$D$41,2,FALSE),"Merchant not found")</f>
        <v>Merchant_033</v>
      </c>
      <c r="J271" t="str">
        <f>_xlfn.IFNA(VLOOKUP(C271,merchants!$A$2:$D$41,3,FALSE),"Merchant not found")</f>
        <v>bill_payment</v>
      </c>
      <c r="K271" t="str">
        <f>_xlfn.IFNA(VLOOKUP(C271,merchants!$A$2:$D$41,4,FALSE),"Merchant not found")</f>
        <v>East</v>
      </c>
      <c r="L271">
        <f t="shared" si="12"/>
        <v>46025</v>
      </c>
      <c r="M271">
        <f t="shared" si="13"/>
        <v>0</v>
      </c>
      <c r="N271" t="str">
        <f t="shared" si="14"/>
        <v>Standard</v>
      </c>
      <c r="O271">
        <f>HLOOKUP(F271,fee_lookup!$B$1:$E$2,2,FALSE)</f>
        <v>2E-3</v>
      </c>
    </row>
    <row r="272" spans="1:15" x14ac:dyDescent="0.3">
      <c r="A272" t="s">
        <v>849</v>
      </c>
      <c r="B272" t="s">
        <v>850</v>
      </c>
      <c r="C272" t="s">
        <v>70</v>
      </c>
      <c r="D272" t="s">
        <v>851</v>
      </c>
      <c r="E272" t="s">
        <v>140</v>
      </c>
      <c r="F272" t="s">
        <v>113</v>
      </c>
      <c r="G272" t="s">
        <v>198</v>
      </c>
      <c r="H272" t="s">
        <v>141</v>
      </c>
      <c r="I272" t="str">
        <f>_xlfn.IFNA(VLOOKUP(C272,merchants!$A$2:$D$41,2,FALSE),"Merchant not found")</f>
        <v>Merchant_029</v>
      </c>
      <c r="J272" t="str">
        <f>_xlfn.IFNA(VLOOKUP(C272,merchants!$A$2:$D$41,3,FALSE),"Merchant not found")</f>
        <v>ecommerce</v>
      </c>
      <c r="K272" t="str">
        <f>_xlfn.IFNA(VLOOKUP(C272,merchants!$A$2:$D$41,4,FALSE),"Merchant not found")</f>
        <v>North</v>
      </c>
      <c r="L272">
        <f t="shared" si="12"/>
        <v>46049</v>
      </c>
      <c r="M272">
        <f t="shared" si="13"/>
        <v>0</v>
      </c>
      <c r="N272" t="str">
        <f t="shared" si="14"/>
        <v>Standard</v>
      </c>
      <c r="O272">
        <f>HLOOKUP(F272,fee_lookup!$B$1:$E$2,2,FALSE)</f>
        <v>2E-3</v>
      </c>
    </row>
    <row r="273" spans="1:15" x14ac:dyDescent="0.3">
      <c r="A273" t="s">
        <v>852</v>
      </c>
      <c r="B273" t="s">
        <v>68</v>
      </c>
      <c r="C273" t="s">
        <v>64</v>
      </c>
      <c r="D273" t="s">
        <v>853</v>
      </c>
      <c r="E273" t="s">
        <v>118</v>
      </c>
      <c r="F273" t="s">
        <v>113</v>
      </c>
      <c r="G273" t="s">
        <v>155</v>
      </c>
      <c r="H273" t="s">
        <v>323</v>
      </c>
      <c r="I273" t="str">
        <f>_xlfn.IFNA(VLOOKUP(C273,merchants!$A$2:$D$41,2,FALSE),"Merchant not found")</f>
        <v>Merchant_026</v>
      </c>
      <c r="J273" t="str">
        <f>_xlfn.IFNA(VLOOKUP(C273,merchants!$A$2:$D$41,3,FALSE),"Merchant not found")</f>
        <v>food_delivery</v>
      </c>
      <c r="K273" t="str">
        <f>_xlfn.IFNA(VLOOKUP(C273,merchants!$A$2:$D$41,4,FALSE),"Merchant not found")</f>
        <v>East</v>
      </c>
      <c r="L273">
        <f t="shared" si="12"/>
        <v>46052</v>
      </c>
      <c r="M273">
        <f t="shared" si="13"/>
        <v>0</v>
      </c>
      <c r="N273" t="str">
        <f t="shared" si="14"/>
        <v>Standard</v>
      </c>
      <c r="O273">
        <f>HLOOKUP(F273,fee_lookup!$B$1:$E$2,2,FALSE)</f>
        <v>2E-3</v>
      </c>
    </row>
    <row r="274" spans="1:15" x14ac:dyDescent="0.3">
      <c r="A274" t="s">
        <v>854</v>
      </c>
      <c r="B274" t="s">
        <v>146</v>
      </c>
      <c r="C274" t="s">
        <v>60</v>
      </c>
      <c r="D274" t="s">
        <v>855</v>
      </c>
      <c r="E274" t="s">
        <v>227</v>
      </c>
      <c r="F274" t="s">
        <v>113</v>
      </c>
      <c r="G274" t="s">
        <v>107</v>
      </c>
      <c r="H274" t="s">
        <v>68</v>
      </c>
      <c r="I274" t="str">
        <f>_xlfn.IFNA(VLOOKUP(C274,merchants!$A$2:$D$41,2,FALSE),"Merchant not found")</f>
        <v>Merchant_024</v>
      </c>
      <c r="J274" t="str">
        <f>_xlfn.IFNA(VLOOKUP(C274,merchants!$A$2:$D$41,3,FALSE),"Merchant not found")</f>
        <v>grocery</v>
      </c>
      <c r="K274" t="str">
        <f>_xlfn.IFNA(VLOOKUP(C274,merchants!$A$2:$D$41,4,FALSE),"Merchant not found")</f>
        <v>North</v>
      </c>
      <c r="L274">
        <f t="shared" si="12"/>
        <v>46034</v>
      </c>
      <c r="M274">
        <f t="shared" si="13"/>
        <v>0</v>
      </c>
      <c r="N274" t="str">
        <f t="shared" si="14"/>
        <v>Standard</v>
      </c>
      <c r="O274">
        <f>HLOOKUP(F274,fee_lookup!$B$1:$E$2,2,FALSE)</f>
        <v>2E-3</v>
      </c>
    </row>
    <row r="275" spans="1:15" x14ac:dyDescent="0.3">
      <c r="A275" t="s">
        <v>856</v>
      </c>
      <c r="B275" t="s">
        <v>137</v>
      </c>
      <c r="C275" t="s">
        <v>56</v>
      </c>
      <c r="D275" t="s">
        <v>857</v>
      </c>
      <c r="E275" t="s">
        <v>140</v>
      </c>
      <c r="F275" t="s">
        <v>113</v>
      </c>
      <c r="G275" t="s">
        <v>107</v>
      </c>
      <c r="H275" t="s">
        <v>48</v>
      </c>
      <c r="I275" t="str">
        <f>_xlfn.IFNA(VLOOKUP(C275,merchants!$A$2:$D$41,2,FALSE),"Merchant not found")</f>
        <v>Merchant_022</v>
      </c>
      <c r="J275" t="str">
        <f>_xlfn.IFNA(VLOOKUP(C275,merchants!$A$2:$D$41,3,FALSE),"Merchant not found")</f>
        <v>travel</v>
      </c>
      <c r="K275" t="str">
        <f>_xlfn.IFNA(VLOOKUP(C275,merchants!$A$2:$D$41,4,FALSE),"Merchant not found")</f>
        <v>South</v>
      </c>
      <c r="L275">
        <f t="shared" si="12"/>
        <v>46023</v>
      </c>
      <c r="M275">
        <f t="shared" si="13"/>
        <v>0</v>
      </c>
      <c r="N275" t="str">
        <f t="shared" si="14"/>
        <v>Standard</v>
      </c>
      <c r="O275">
        <f>HLOOKUP(F275,fee_lookup!$B$1:$E$2,2,FALSE)</f>
        <v>2E-3</v>
      </c>
    </row>
    <row r="276" spans="1:15" x14ac:dyDescent="0.3">
      <c r="A276" t="s">
        <v>858</v>
      </c>
      <c r="B276" t="s">
        <v>859</v>
      </c>
      <c r="C276" t="s">
        <v>28</v>
      </c>
      <c r="D276" t="s">
        <v>860</v>
      </c>
      <c r="E276" t="s">
        <v>227</v>
      </c>
      <c r="F276" t="s">
        <v>113</v>
      </c>
      <c r="G276" t="s">
        <v>107</v>
      </c>
      <c r="H276" t="s">
        <v>506</v>
      </c>
      <c r="I276" t="str">
        <f>_xlfn.IFNA(VLOOKUP(C276,merchants!$A$2:$D$41,2,FALSE),"Merchant not found")</f>
        <v>Merchant_009</v>
      </c>
      <c r="J276" t="str">
        <f>_xlfn.IFNA(VLOOKUP(C276,merchants!$A$2:$D$41,3,FALSE),"Merchant not found")</f>
        <v>ecommerce</v>
      </c>
      <c r="K276" t="str">
        <f>_xlfn.IFNA(VLOOKUP(C276,merchants!$A$2:$D$41,4,FALSE),"Merchant not found")</f>
        <v>North</v>
      </c>
      <c r="L276">
        <f t="shared" si="12"/>
        <v>46027</v>
      </c>
      <c r="M276">
        <f t="shared" si="13"/>
        <v>0</v>
      </c>
      <c r="N276" t="str">
        <f t="shared" si="14"/>
        <v>Standard</v>
      </c>
      <c r="O276">
        <f>HLOOKUP(F276,fee_lookup!$B$1:$E$2,2,FALSE)</f>
        <v>2E-3</v>
      </c>
    </row>
    <row r="277" spans="1:15" x14ac:dyDescent="0.3">
      <c r="A277" t="s">
        <v>861</v>
      </c>
      <c r="B277" t="s">
        <v>862</v>
      </c>
      <c r="C277" t="s">
        <v>4</v>
      </c>
      <c r="D277" t="s">
        <v>863</v>
      </c>
      <c r="E277" t="s">
        <v>227</v>
      </c>
      <c r="F277" t="s">
        <v>113</v>
      </c>
      <c r="G277" t="s">
        <v>107</v>
      </c>
      <c r="H277" t="s">
        <v>30</v>
      </c>
      <c r="I277" t="str">
        <f>_xlfn.IFNA(VLOOKUP(C277,merchants!$A$2:$D$41,2,FALSE),"Merchant not found")</f>
        <v>Merchant_001</v>
      </c>
      <c r="J277" t="str">
        <f>_xlfn.IFNA(VLOOKUP(C277,merchants!$A$2:$D$41,3,FALSE),"Merchant not found")</f>
        <v>ecommerce</v>
      </c>
      <c r="K277" t="str">
        <f>_xlfn.IFNA(VLOOKUP(C277,merchants!$A$2:$D$41,4,FALSE),"Merchant not found")</f>
        <v>South</v>
      </c>
      <c r="L277">
        <f t="shared" si="12"/>
        <v>46045</v>
      </c>
      <c r="M277">
        <f t="shared" si="13"/>
        <v>0</v>
      </c>
      <c r="N277" t="str">
        <f t="shared" si="14"/>
        <v>Standard</v>
      </c>
      <c r="O277">
        <f>HLOOKUP(F277,fee_lookup!$B$1:$E$2,2,FALSE)</f>
        <v>2E-3</v>
      </c>
    </row>
    <row r="278" spans="1:15" x14ac:dyDescent="0.3">
      <c r="A278" t="s">
        <v>864</v>
      </c>
      <c r="B278" t="s">
        <v>567</v>
      </c>
      <c r="C278" t="s">
        <v>84</v>
      </c>
      <c r="D278" t="s">
        <v>865</v>
      </c>
      <c r="E278" t="s">
        <v>227</v>
      </c>
      <c r="F278" t="s">
        <v>113</v>
      </c>
      <c r="G278" t="s">
        <v>107</v>
      </c>
      <c r="H278" t="s">
        <v>756</v>
      </c>
      <c r="I278" t="str">
        <f>_xlfn.IFNA(VLOOKUP(C278,merchants!$A$2:$D$41,2,FALSE),"Merchant not found")</f>
        <v>Merchant_036</v>
      </c>
      <c r="J278" t="str">
        <f>_xlfn.IFNA(VLOOKUP(C278,merchants!$A$2:$D$41,3,FALSE),"Merchant not found")</f>
        <v>entertainment</v>
      </c>
      <c r="K278" t="str">
        <f>_xlfn.IFNA(VLOOKUP(C278,merchants!$A$2:$D$41,4,FALSE),"Merchant not found")</f>
        <v>East</v>
      </c>
      <c r="L278">
        <f t="shared" si="12"/>
        <v>46023</v>
      </c>
      <c r="M278">
        <f t="shared" si="13"/>
        <v>0</v>
      </c>
      <c r="N278" t="str">
        <f t="shared" si="14"/>
        <v>Standard</v>
      </c>
      <c r="O278">
        <f>HLOOKUP(F278,fee_lookup!$B$1:$E$2,2,FALSE)</f>
        <v>2E-3</v>
      </c>
    </row>
    <row r="279" spans="1:15" x14ac:dyDescent="0.3">
      <c r="A279" t="s">
        <v>866</v>
      </c>
      <c r="B279" t="s">
        <v>356</v>
      </c>
      <c r="C279" t="s">
        <v>50</v>
      </c>
      <c r="D279" t="s">
        <v>867</v>
      </c>
      <c r="E279" t="s">
        <v>112</v>
      </c>
      <c r="F279" t="s">
        <v>113</v>
      </c>
      <c r="G279" t="s">
        <v>107</v>
      </c>
      <c r="H279" t="s">
        <v>72</v>
      </c>
      <c r="I279" t="str">
        <f>_xlfn.IFNA(VLOOKUP(C279,merchants!$A$2:$D$41,2,FALSE),"Merchant not found")</f>
        <v>Merchant_019</v>
      </c>
      <c r="J279" t="str">
        <f>_xlfn.IFNA(VLOOKUP(C279,merchants!$A$2:$D$41,3,FALSE),"Merchant not found")</f>
        <v>grocery</v>
      </c>
      <c r="K279" t="str">
        <f>_xlfn.IFNA(VLOOKUP(C279,merchants!$A$2:$D$41,4,FALSE),"Merchant not found")</f>
        <v>North</v>
      </c>
      <c r="L279">
        <f t="shared" si="12"/>
        <v>46042</v>
      </c>
      <c r="M279">
        <f t="shared" si="13"/>
        <v>0</v>
      </c>
      <c r="N279" t="str">
        <f t="shared" si="14"/>
        <v>Standard</v>
      </c>
      <c r="O279">
        <f>HLOOKUP(F279,fee_lookup!$B$1:$E$2,2,FALSE)</f>
        <v>2E-3</v>
      </c>
    </row>
    <row r="280" spans="1:15" x14ac:dyDescent="0.3">
      <c r="A280" t="s">
        <v>868</v>
      </c>
      <c r="B280" t="s">
        <v>869</v>
      </c>
      <c r="C280" t="s">
        <v>66</v>
      </c>
      <c r="D280" t="s">
        <v>870</v>
      </c>
      <c r="E280" t="s">
        <v>227</v>
      </c>
      <c r="F280" t="s">
        <v>122</v>
      </c>
      <c r="G280" t="s">
        <v>107</v>
      </c>
      <c r="H280" t="s">
        <v>413</v>
      </c>
      <c r="I280" t="str">
        <f>_xlfn.IFNA(VLOOKUP(C280,merchants!$A$2:$D$41,2,FALSE),"Merchant not found")</f>
        <v>Merchant_027</v>
      </c>
      <c r="J280" t="str">
        <f>_xlfn.IFNA(VLOOKUP(C280,merchants!$A$2:$D$41,3,FALSE),"Merchant not found")</f>
        <v>ecommerce</v>
      </c>
      <c r="K280" t="str">
        <f>_xlfn.IFNA(VLOOKUP(C280,merchants!$A$2:$D$41,4,FALSE),"Merchant not found")</f>
        <v>North</v>
      </c>
      <c r="L280">
        <f t="shared" si="12"/>
        <v>46032</v>
      </c>
      <c r="M280">
        <f t="shared" si="13"/>
        <v>0</v>
      </c>
      <c r="N280" t="str">
        <f t="shared" si="14"/>
        <v>Standard</v>
      </c>
      <c r="O280">
        <f>HLOOKUP(F280,fee_lookup!$B$1:$E$2,2,FALSE)</f>
        <v>1.2E-2</v>
      </c>
    </row>
    <row r="281" spans="1:15" x14ac:dyDescent="0.3">
      <c r="A281" t="s">
        <v>871</v>
      </c>
      <c r="B281" t="s">
        <v>78</v>
      </c>
      <c r="C281" t="s">
        <v>25</v>
      </c>
      <c r="D281" t="s">
        <v>872</v>
      </c>
      <c r="E281" t="s">
        <v>145</v>
      </c>
      <c r="F281" t="s">
        <v>106</v>
      </c>
      <c r="G281" t="s">
        <v>107</v>
      </c>
      <c r="H281" t="s">
        <v>222</v>
      </c>
      <c r="I281" t="str">
        <f>_xlfn.IFNA(VLOOKUP(C281,merchants!$A$2:$D$41,2,FALSE),"Merchant not found")</f>
        <v>Merchant_008</v>
      </c>
      <c r="J281" t="str">
        <f>_xlfn.IFNA(VLOOKUP(C281,merchants!$A$2:$D$41,3,FALSE),"Merchant not found")</f>
        <v>food_delivery</v>
      </c>
      <c r="K281" t="str">
        <f>_xlfn.IFNA(VLOOKUP(C281,merchants!$A$2:$D$41,4,FALSE),"Merchant not found")</f>
        <v>North</v>
      </c>
      <c r="L281">
        <f t="shared" si="12"/>
        <v>46048</v>
      </c>
      <c r="M281">
        <f t="shared" si="13"/>
        <v>0</v>
      </c>
      <c r="N281" t="str">
        <f t="shared" si="14"/>
        <v>Standard</v>
      </c>
      <c r="O281">
        <f>HLOOKUP(F281,fee_lookup!$B$1:$E$2,2,FALSE)</f>
        <v>0.01</v>
      </c>
    </row>
    <row r="282" spans="1:15" x14ac:dyDescent="0.3">
      <c r="A282" t="s">
        <v>873</v>
      </c>
      <c r="B282" t="s">
        <v>874</v>
      </c>
      <c r="C282" t="s">
        <v>78</v>
      </c>
      <c r="D282" t="s">
        <v>875</v>
      </c>
      <c r="E282" t="s">
        <v>220</v>
      </c>
      <c r="F282" t="s">
        <v>113</v>
      </c>
      <c r="G282" t="s">
        <v>107</v>
      </c>
      <c r="H282" t="s">
        <v>508</v>
      </c>
      <c r="I282" t="str">
        <f>_xlfn.IFNA(VLOOKUP(C282,merchants!$A$2:$D$41,2,FALSE),"Merchant not found")</f>
        <v>Merchant_033</v>
      </c>
      <c r="J282" t="str">
        <f>_xlfn.IFNA(VLOOKUP(C282,merchants!$A$2:$D$41,3,FALSE),"Merchant not found")</f>
        <v>bill_payment</v>
      </c>
      <c r="K282" t="str">
        <f>_xlfn.IFNA(VLOOKUP(C282,merchants!$A$2:$D$41,4,FALSE),"Merchant not found")</f>
        <v>East</v>
      </c>
      <c r="L282">
        <f t="shared" si="12"/>
        <v>46042</v>
      </c>
      <c r="M282">
        <f t="shared" si="13"/>
        <v>0</v>
      </c>
      <c r="N282" t="str">
        <f t="shared" si="14"/>
        <v>Standard</v>
      </c>
      <c r="O282">
        <f>HLOOKUP(F282,fee_lookup!$B$1:$E$2,2,FALSE)</f>
        <v>2E-3</v>
      </c>
    </row>
    <row r="283" spans="1:15" x14ac:dyDescent="0.3">
      <c r="A283" t="s">
        <v>876</v>
      </c>
      <c r="B283" t="s">
        <v>484</v>
      </c>
      <c r="C283" t="s">
        <v>68</v>
      </c>
      <c r="D283" t="s">
        <v>877</v>
      </c>
      <c r="E283" t="s">
        <v>112</v>
      </c>
      <c r="F283" t="s">
        <v>113</v>
      </c>
      <c r="G283" t="s">
        <v>155</v>
      </c>
      <c r="H283" t="s">
        <v>496</v>
      </c>
      <c r="I283" t="str">
        <f>_xlfn.IFNA(VLOOKUP(C283,merchants!$A$2:$D$41,2,FALSE),"Merchant not found")</f>
        <v>Merchant_028</v>
      </c>
      <c r="J283" t="str">
        <f>_xlfn.IFNA(VLOOKUP(C283,merchants!$A$2:$D$41,3,FALSE),"Merchant not found")</f>
        <v>ecommerce</v>
      </c>
      <c r="K283" t="str">
        <f>_xlfn.IFNA(VLOOKUP(C283,merchants!$A$2:$D$41,4,FALSE),"Merchant not found")</f>
        <v>South</v>
      </c>
      <c r="L283">
        <f t="shared" si="12"/>
        <v>46030</v>
      </c>
      <c r="M283">
        <f t="shared" si="13"/>
        <v>0</v>
      </c>
      <c r="N283" t="str">
        <f t="shared" si="14"/>
        <v>Standard</v>
      </c>
      <c r="O283">
        <f>HLOOKUP(F283,fee_lookup!$B$1:$E$2,2,FALSE)</f>
        <v>2E-3</v>
      </c>
    </row>
    <row r="284" spans="1:15" x14ac:dyDescent="0.3">
      <c r="A284" t="s">
        <v>878</v>
      </c>
      <c r="B284" t="s">
        <v>879</v>
      </c>
      <c r="C284" t="s">
        <v>66</v>
      </c>
      <c r="D284" t="s">
        <v>880</v>
      </c>
      <c r="E284" t="s">
        <v>274</v>
      </c>
      <c r="F284" t="s">
        <v>113</v>
      </c>
      <c r="G284" t="s">
        <v>107</v>
      </c>
      <c r="H284" t="s">
        <v>58</v>
      </c>
      <c r="I284" t="str">
        <f>_xlfn.IFNA(VLOOKUP(C284,merchants!$A$2:$D$41,2,FALSE),"Merchant not found")</f>
        <v>Merchant_027</v>
      </c>
      <c r="J284" t="str">
        <f>_xlfn.IFNA(VLOOKUP(C284,merchants!$A$2:$D$41,3,FALSE),"Merchant not found")</f>
        <v>ecommerce</v>
      </c>
      <c r="K284" t="str">
        <f>_xlfn.IFNA(VLOOKUP(C284,merchants!$A$2:$D$41,4,FALSE),"Merchant not found")</f>
        <v>North</v>
      </c>
      <c r="L284">
        <f t="shared" si="12"/>
        <v>46042</v>
      </c>
      <c r="M284">
        <f t="shared" si="13"/>
        <v>0</v>
      </c>
      <c r="N284" t="str">
        <f t="shared" si="14"/>
        <v>Standard</v>
      </c>
      <c r="O284">
        <f>HLOOKUP(F284,fee_lookup!$B$1:$E$2,2,FALSE)</f>
        <v>2E-3</v>
      </c>
    </row>
    <row r="285" spans="1:15" x14ac:dyDescent="0.3">
      <c r="A285" t="s">
        <v>881</v>
      </c>
      <c r="B285" t="s">
        <v>791</v>
      </c>
      <c r="C285" t="s">
        <v>60</v>
      </c>
      <c r="D285" t="s">
        <v>882</v>
      </c>
      <c r="E285" t="s">
        <v>112</v>
      </c>
      <c r="F285" t="s">
        <v>106</v>
      </c>
      <c r="G285" t="s">
        <v>107</v>
      </c>
      <c r="H285" t="s">
        <v>25</v>
      </c>
      <c r="I285" t="str">
        <f>_xlfn.IFNA(VLOOKUP(C285,merchants!$A$2:$D$41,2,FALSE),"Merchant not found")</f>
        <v>Merchant_024</v>
      </c>
      <c r="J285" t="str">
        <f>_xlfn.IFNA(VLOOKUP(C285,merchants!$A$2:$D$41,3,FALSE),"Merchant not found")</f>
        <v>grocery</v>
      </c>
      <c r="K285" t="str">
        <f>_xlfn.IFNA(VLOOKUP(C285,merchants!$A$2:$D$41,4,FALSE),"Merchant not found")</f>
        <v>North</v>
      </c>
      <c r="L285">
        <f t="shared" si="12"/>
        <v>46044</v>
      </c>
      <c r="M285">
        <f t="shared" si="13"/>
        <v>0</v>
      </c>
      <c r="N285" t="str">
        <f t="shared" si="14"/>
        <v>Standard</v>
      </c>
      <c r="O285">
        <f>HLOOKUP(F285,fee_lookup!$B$1:$E$2,2,FALSE)</f>
        <v>0.01</v>
      </c>
    </row>
    <row r="286" spans="1:15" x14ac:dyDescent="0.3">
      <c r="A286" t="s">
        <v>883</v>
      </c>
      <c r="B286" t="s">
        <v>494</v>
      </c>
      <c r="C286" t="s">
        <v>84</v>
      </c>
      <c r="D286" t="s">
        <v>884</v>
      </c>
      <c r="E286" t="s">
        <v>118</v>
      </c>
      <c r="F286" t="s">
        <v>113</v>
      </c>
      <c r="G286" t="s">
        <v>107</v>
      </c>
      <c r="H286" t="s">
        <v>8</v>
      </c>
      <c r="I286" t="str">
        <f>_xlfn.IFNA(VLOOKUP(C286,merchants!$A$2:$D$41,2,FALSE),"Merchant not found")</f>
        <v>Merchant_036</v>
      </c>
      <c r="J286" t="str">
        <f>_xlfn.IFNA(VLOOKUP(C286,merchants!$A$2:$D$41,3,FALSE),"Merchant not found")</f>
        <v>entertainment</v>
      </c>
      <c r="K286" t="str">
        <f>_xlfn.IFNA(VLOOKUP(C286,merchants!$A$2:$D$41,4,FALSE),"Merchant not found")</f>
        <v>East</v>
      </c>
      <c r="L286">
        <f t="shared" si="12"/>
        <v>46039</v>
      </c>
      <c r="M286">
        <f t="shared" si="13"/>
        <v>0</v>
      </c>
      <c r="N286" t="str">
        <f t="shared" si="14"/>
        <v>Standard</v>
      </c>
      <c r="O286">
        <f>HLOOKUP(F286,fee_lookup!$B$1:$E$2,2,FALSE)</f>
        <v>2E-3</v>
      </c>
    </row>
    <row r="287" spans="1:15" x14ac:dyDescent="0.3">
      <c r="A287" t="s">
        <v>885</v>
      </c>
      <c r="B287" t="s">
        <v>452</v>
      </c>
      <c r="C287" t="s">
        <v>62</v>
      </c>
      <c r="D287" t="s">
        <v>886</v>
      </c>
      <c r="E287" t="s">
        <v>112</v>
      </c>
      <c r="F287" t="s">
        <v>113</v>
      </c>
      <c r="G287" t="s">
        <v>107</v>
      </c>
      <c r="H287" t="s">
        <v>363</v>
      </c>
      <c r="I287" t="str">
        <f>_xlfn.IFNA(VLOOKUP(C287,merchants!$A$2:$D$41,2,FALSE),"Merchant not found")</f>
        <v>Merchant_025</v>
      </c>
      <c r="J287" t="str">
        <f>_xlfn.IFNA(VLOOKUP(C287,merchants!$A$2:$D$41,3,FALSE),"Merchant not found")</f>
        <v>travel</v>
      </c>
      <c r="K287" t="str">
        <f>_xlfn.IFNA(VLOOKUP(C287,merchants!$A$2:$D$41,4,FALSE),"Merchant not found")</f>
        <v>South</v>
      </c>
      <c r="L287">
        <f t="shared" si="12"/>
        <v>46035</v>
      </c>
      <c r="M287">
        <f t="shared" si="13"/>
        <v>0</v>
      </c>
      <c r="N287" t="str">
        <f t="shared" si="14"/>
        <v>Standard</v>
      </c>
      <c r="O287">
        <f>HLOOKUP(F287,fee_lookup!$B$1:$E$2,2,FALSE)</f>
        <v>2E-3</v>
      </c>
    </row>
    <row r="288" spans="1:15" x14ac:dyDescent="0.3">
      <c r="A288" t="s">
        <v>887</v>
      </c>
      <c r="B288" t="s">
        <v>888</v>
      </c>
      <c r="C288" t="s">
        <v>17</v>
      </c>
      <c r="D288" t="s">
        <v>889</v>
      </c>
      <c r="E288" t="s">
        <v>112</v>
      </c>
      <c r="F288" t="s">
        <v>154</v>
      </c>
      <c r="G288" t="s">
        <v>107</v>
      </c>
      <c r="H288" t="s">
        <v>141</v>
      </c>
      <c r="I288" t="str">
        <f>_xlfn.IFNA(VLOOKUP(C288,merchants!$A$2:$D$41,2,FALSE),"Merchant not found")</f>
        <v>Merchant_005</v>
      </c>
      <c r="J288" t="str">
        <f>_xlfn.IFNA(VLOOKUP(C288,merchants!$A$2:$D$41,3,FALSE),"Merchant not found")</f>
        <v>recharge</v>
      </c>
      <c r="K288" t="str">
        <f>_xlfn.IFNA(VLOOKUP(C288,merchants!$A$2:$D$41,4,FALSE),"Merchant not found")</f>
        <v>South</v>
      </c>
      <c r="L288">
        <f t="shared" si="12"/>
        <v>46031</v>
      </c>
      <c r="M288">
        <f t="shared" si="13"/>
        <v>0</v>
      </c>
      <c r="N288" t="str">
        <f t="shared" si="14"/>
        <v>Standard</v>
      </c>
      <c r="O288">
        <f>HLOOKUP(F288,fee_lookup!$B$1:$E$2,2,FALSE)</f>
        <v>1.7999999999999999E-2</v>
      </c>
    </row>
    <row r="289" spans="1:15" x14ac:dyDescent="0.3">
      <c r="A289" t="s">
        <v>890</v>
      </c>
      <c r="B289" t="s">
        <v>891</v>
      </c>
      <c r="C289" t="s">
        <v>23</v>
      </c>
      <c r="D289" t="s">
        <v>892</v>
      </c>
      <c r="E289" t="s">
        <v>145</v>
      </c>
      <c r="F289" t="s">
        <v>113</v>
      </c>
      <c r="G289" t="s">
        <v>107</v>
      </c>
      <c r="H289" t="s">
        <v>238</v>
      </c>
      <c r="I289" t="str">
        <f>_xlfn.IFNA(VLOOKUP(C289,merchants!$A$2:$D$41,2,FALSE),"Merchant not found")</f>
        <v>Merchant_007</v>
      </c>
      <c r="J289" t="str">
        <f>_xlfn.IFNA(VLOOKUP(C289,merchants!$A$2:$D$41,3,FALSE),"Merchant not found")</f>
        <v>food_delivery</v>
      </c>
      <c r="K289" t="str">
        <f>_xlfn.IFNA(VLOOKUP(C289,merchants!$A$2:$D$41,4,FALSE),"Merchant not found")</f>
        <v>East</v>
      </c>
      <c r="L289">
        <f t="shared" si="12"/>
        <v>46030</v>
      </c>
      <c r="M289">
        <f t="shared" si="13"/>
        <v>0</v>
      </c>
      <c r="N289" t="str">
        <f t="shared" si="14"/>
        <v>Standard</v>
      </c>
      <c r="O289">
        <f>HLOOKUP(F289,fee_lookup!$B$1:$E$2,2,FALSE)</f>
        <v>2E-3</v>
      </c>
    </row>
    <row r="290" spans="1:15" x14ac:dyDescent="0.3">
      <c r="A290" t="s">
        <v>893</v>
      </c>
      <c r="B290" t="s">
        <v>455</v>
      </c>
      <c r="C290" t="s">
        <v>28</v>
      </c>
      <c r="D290" t="s">
        <v>894</v>
      </c>
      <c r="E290" t="s">
        <v>145</v>
      </c>
      <c r="F290" t="s">
        <v>113</v>
      </c>
      <c r="G290" t="s">
        <v>107</v>
      </c>
      <c r="H290" t="s">
        <v>17</v>
      </c>
      <c r="I290" t="str">
        <f>_xlfn.IFNA(VLOOKUP(C290,merchants!$A$2:$D$41,2,FALSE),"Merchant not found")</f>
        <v>Merchant_009</v>
      </c>
      <c r="J290" t="str">
        <f>_xlfn.IFNA(VLOOKUP(C290,merchants!$A$2:$D$41,3,FALSE),"Merchant not found")</f>
        <v>ecommerce</v>
      </c>
      <c r="K290" t="str">
        <f>_xlfn.IFNA(VLOOKUP(C290,merchants!$A$2:$D$41,4,FALSE),"Merchant not found")</f>
        <v>North</v>
      </c>
      <c r="L290">
        <f t="shared" si="12"/>
        <v>46041</v>
      </c>
      <c r="M290">
        <f t="shared" si="13"/>
        <v>0</v>
      </c>
      <c r="N290" t="str">
        <f t="shared" si="14"/>
        <v>Standard</v>
      </c>
      <c r="O290">
        <f>HLOOKUP(F290,fee_lookup!$B$1:$E$2,2,FALSE)</f>
        <v>2E-3</v>
      </c>
    </row>
    <row r="291" spans="1:15" x14ac:dyDescent="0.3">
      <c r="A291" t="s">
        <v>895</v>
      </c>
      <c r="B291" t="s">
        <v>896</v>
      </c>
      <c r="C291" t="s">
        <v>34</v>
      </c>
      <c r="D291" t="s">
        <v>897</v>
      </c>
      <c r="E291" t="s">
        <v>118</v>
      </c>
      <c r="F291" t="s">
        <v>122</v>
      </c>
      <c r="G291" t="s">
        <v>107</v>
      </c>
      <c r="H291" t="s">
        <v>127</v>
      </c>
      <c r="I291" t="str">
        <f>_xlfn.IFNA(VLOOKUP(C291,merchants!$A$2:$D$41,2,FALSE),"Merchant not found")</f>
        <v>Merchant_012</v>
      </c>
      <c r="J291" t="str">
        <f>_xlfn.IFNA(VLOOKUP(C291,merchants!$A$2:$D$41,3,FALSE),"Merchant not found")</f>
        <v>ecommerce</v>
      </c>
      <c r="K291" t="str">
        <f>_xlfn.IFNA(VLOOKUP(C291,merchants!$A$2:$D$41,4,FALSE),"Merchant not found")</f>
        <v>East</v>
      </c>
      <c r="L291">
        <f t="shared" si="12"/>
        <v>46034</v>
      </c>
      <c r="M291">
        <f t="shared" si="13"/>
        <v>0</v>
      </c>
      <c r="N291" t="str">
        <f t="shared" si="14"/>
        <v>Standard</v>
      </c>
      <c r="O291">
        <f>HLOOKUP(F291,fee_lookup!$B$1:$E$2,2,FALSE)</f>
        <v>1.2E-2</v>
      </c>
    </row>
    <row r="292" spans="1:15" x14ac:dyDescent="0.3">
      <c r="A292" t="s">
        <v>898</v>
      </c>
      <c r="B292" t="s">
        <v>390</v>
      </c>
      <c r="C292" t="s">
        <v>34</v>
      </c>
      <c r="D292" t="s">
        <v>899</v>
      </c>
      <c r="E292" t="s">
        <v>127</v>
      </c>
      <c r="F292" t="s">
        <v>106</v>
      </c>
      <c r="G292" t="s">
        <v>107</v>
      </c>
      <c r="H292" t="s">
        <v>46</v>
      </c>
      <c r="I292" t="str">
        <f>_xlfn.IFNA(VLOOKUP(C292,merchants!$A$2:$D$41,2,FALSE),"Merchant not found")</f>
        <v>Merchant_012</v>
      </c>
      <c r="J292" t="str">
        <f>_xlfn.IFNA(VLOOKUP(C292,merchants!$A$2:$D$41,3,FALSE),"Merchant not found")</f>
        <v>ecommerce</v>
      </c>
      <c r="K292" t="str">
        <f>_xlfn.IFNA(VLOOKUP(C292,merchants!$A$2:$D$41,4,FALSE),"Merchant not found")</f>
        <v>East</v>
      </c>
      <c r="L292">
        <f t="shared" si="12"/>
        <v>46044</v>
      </c>
      <c r="M292">
        <f t="shared" si="13"/>
        <v>0</v>
      </c>
      <c r="N292" t="str">
        <f t="shared" si="14"/>
        <v>Standard</v>
      </c>
      <c r="O292">
        <f>HLOOKUP(F292,fee_lookup!$B$1:$E$2,2,FALSE)</f>
        <v>0.01</v>
      </c>
    </row>
    <row r="293" spans="1:15" x14ac:dyDescent="0.3">
      <c r="A293" t="s">
        <v>900</v>
      </c>
      <c r="B293" t="s">
        <v>901</v>
      </c>
      <c r="C293" t="s">
        <v>12</v>
      </c>
      <c r="D293" t="s">
        <v>902</v>
      </c>
      <c r="E293" t="s">
        <v>112</v>
      </c>
      <c r="F293" t="s">
        <v>113</v>
      </c>
      <c r="G293" t="s">
        <v>107</v>
      </c>
      <c r="H293" t="s">
        <v>87</v>
      </c>
      <c r="I293" t="str">
        <f>_xlfn.IFNA(VLOOKUP(C293,merchants!$A$2:$D$41,2,FALSE),"Merchant not found")</f>
        <v>Merchant_003</v>
      </c>
      <c r="J293" t="str">
        <f>_xlfn.IFNA(VLOOKUP(C293,merchants!$A$2:$D$41,3,FALSE),"Merchant not found")</f>
        <v>grocery</v>
      </c>
      <c r="K293" t="str">
        <f>_xlfn.IFNA(VLOOKUP(C293,merchants!$A$2:$D$41,4,FALSE),"Merchant not found")</f>
        <v>East</v>
      </c>
      <c r="L293">
        <f t="shared" si="12"/>
        <v>46025</v>
      </c>
      <c r="M293">
        <f t="shared" si="13"/>
        <v>0</v>
      </c>
      <c r="N293" t="str">
        <f t="shared" si="14"/>
        <v>Standard</v>
      </c>
      <c r="O293">
        <f>HLOOKUP(F293,fee_lookup!$B$1:$E$2,2,FALSE)</f>
        <v>2E-3</v>
      </c>
    </row>
    <row r="294" spans="1:15" x14ac:dyDescent="0.3">
      <c r="A294" t="s">
        <v>903</v>
      </c>
      <c r="B294" t="s">
        <v>839</v>
      </c>
      <c r="C294" t="s">
        <v>12</v>
      </c>
      <c r="D294" t="s">
        <v>904</v>
      </c>
      <c r="E294" t="s">
        <v>220</v>
      </c>
      <c r="F294" t="s">
        <v>113</v>
      </c>
      <c r="G294" t="s">
        <v>107</v>
      </c>
      <c r="H294" t="s">
        <v>93</v>
      </c>
      <c r="I294" t="str">
        <f>_xlfn.IFNA(VLOOKUP(C294,merchants!$A$2:$D$41,2,FALSE),"Merchant not found")</f>
        <v>Merchant_003</v>
      </c>
      <c r="J294" t="str">
        <f>_xlfn.IFNA(VLOOKUP(C294,merchants!$A$2:$D$41,3,FALSE),"Merchant not found")</f>
        <v>grocery</v>
      </c>
      <c r="K294" t="str">
        <f>_xlfn.IFNA(VLOOKUP(C294,merchants!$A$2:$D$41,4,FALSE),"Merchant not found")</f>
        <v>East</v>
      </c>
      <c r="L294">
        <f t="shared" si="12"/>
        <v>46029</v>
      </c>
      <c r="M294">
        <f t="shared" si="13"/>
        <v>0</v>
      </c>
      <c r="N294" t="str">
        <f t="shared" si="14"/>
        <v>Standard</v>
      </c>
      <c r="O294">
        <f>HLOOKUP(F294,fee_lookup!$B$1:$E$2,2,FALSE)</f>
        <v>2E-3</v>
      </c>
    </row>
    <row r="295" spans="1:15" x14ac:dyDescent="0.3">
      <c r="A295" t="s">
        <v>905</v>
      </c>
      <c r="B295" t="s">
        <v>906</v>
      </c>
      <c r="C295" t="s">
        <v>82</v>
      </c>
      <c r="D295" t="s">
        <v>907</v>
      </c>
      <c r="E295" t="s">
        <v>127</v>
      </c>
      <c r="F295" t="s">
        <v>106</v>
      </c>
      <c r="G295" t="s">
        <v>107</v>
      </c>
      <c r="H295" t="s">
        <v>131</v>
      </c>
      <c r="I295" t="str">
        <f>_xlfn.IFNA(VLOOKUP(C295,merchants!$A$2:$D$41,2,FALSE),"Merchant not found")</f>
        <v>Merchant_035</v>
      </c>
      <c r="J295" t="str">
        <f>_xlfn.IFNA(VLOOKUP(C295,merchants!$A$2:$D$41,3,FALSE),"Merchant not found")</f>
        <v>recharge</v>
      </c>
      <c r="K295" t="str">
        <f>_xlfn.IFNA(VLOOKUP(C295,merchants!$A$2:$D$41,4,FALSE),"Merchant not found")</f>
        <v>East</v>
      </c>
      <c r="L295">
        <f t="shared" si="12"/>
        <v>46052</v>
      </c>
      <c r="M295">
        <f t="shared" si="13"/>
        <v>0</v>
      </c>
      <c r="N295" t="str">
        <f t="shared" si="14"/>
        <v>Standard</v>
      </c>
      <c r="O295">
        <f>HLOOKUP(F295,fee_lookup!$B$1:$E$2,2,FALSE)</f>
        <v>0.01</v>
      </c>
    </row>
    <row r="296" spans="1:15" x14ac:dyDescent="0.3">
      <c r="A296" t="s">
        <v>908</v>
      </c>
      <c r="B296" t="s">
        <v>909</v>
      </c>
      <c r="C296" t="s">
        <v>36</v>
      </c>
      <c r="D296" t="s">
        <v>910</v>
      </c>
      <c r="E296" t="s">
        <v>112</v>
      </c>
      <c r="F296" t="s">
        <v>154</v>
      </c>
      <c r="G296" t="s">
        <v>107</v>
      </c>
      <c r="H296" t="s">
        <v>84</v>
      </c>
      <c r="I296" t="str">
        <f>_xlfn.IFNA(VLOOKUP(C296,merchants!$A$2:$D$41,2,FALSE),"Merchant not found")</f>
        <v>Merchant_013</v>
      </c>
      <c r="J296" t="str">
        <f>_xlfn.IFNA(VLOOKUP(C296,merchants!$A$2:$D$41,3,FALSE),"Merchant not found")</f>
        <v>travel</v>
      </c>
      <c r="K296" t="str">
        <f>_xlfn.IFNA(VLOOKUP(C296,merchants!$A$2:$D$41,4,FALSE),"Merchant not found")</f>
        <v>East</v>
      </c>
      <c r="L296">
        <f t="shared" si="12"/>
        <v>46031</v>
      </c>
      <c r="M296">
        <f t="shared" si="13"/>
        <v>0</v>
      </c>
      <c r="N296" t="str">
        <f t="shared" si="14"/>
        <v>Standard</v>
      </c>
      <c r="O296">
        <f>HLOOKUP(F296,fee_lookup!$B$1:$E$2,2,FALSE)</f>
        <v>1.7999999999999999E-2</v>
      </c>
    </row>
    <row r="297" spans="1:15" x14ac:dyDescent="0.3">
      <c r="A297" t="s">
        <v>911</v>
      </c>
      <c r="B297" t="s">
        <v>189</v>
      </c>
      <c r="C297" t="s">
        <v>56</v>
      </c>
      <c r="D297" t="s">
        <v>912</v>
      </c>
      <c r="E297" t="s">
        <v>220</v>
      </c>
      <c r="F297" t="s">
        <v>113</v>
      </c>
      <c r="G297" t="s">
        <v>107</v>
      </c>
      <c r="H297" t="s">
        <v>80</v>
      </c>
      <c r="I297" t="str">
        <f>_xlfn.IFNA(VLOOKUP(C297,merchants!$A$2:$D$41,2,FALSE),"Merchant not found")</f>
        <v>Merchant_022</v>
      </c>
      <c r="J297" t="str">
        <f>_xlfn.IFNA(VLOOKUP(C297,merchants!$A$2:$D$41,3,FALSE),"Merchant not found")</f>
        <v>travel</v>
      </c>
      <c r="K297" t="str">
        <f>_xlfn.IFNA(VLOOKUP(C297,merchants!$A$2:$D$41,4,FALSE),"Merchant not found")</f>
        <v>South</v>
      </c>
      <c r="L297">
        <f t="shared" si="12"/>
        <v>46034</v>
      </c>
      <c r="M297">
        <f t="shared" si="13"/>
        <v>0</v>
      </c>
      <c r="N297" t="str">
        <f t="shared" si="14"/>
        <v>Standard</v>
      </c>
      <c r="O297">
        <f>HLOOKUP(F297,fee_lookup!$B$1:$E$2,2,FALSE)</f>
        <v>2E-3</v>
      </c>
    </row>
    <row r="298" spans="1:15" x14ac:dyDescent="0.3">
      <c r="A298" t="s">
        <v>913</v>
      </c>
      <c r="B298" t="s">
        <v>914</v>
      </c>
      <c r="C298" t="s">
        <v>70</v>
      </c>
      <c r="D298" t="s">
        <v>915</v>
      </c>
      <c r="E298" t="s">
        <v>127</v>
      </c>
      <c r="F298" t="s">
        <v>106</v>
      </c>
      <c r="G298" t="s">
        <v>107</v>
      </c>
      <c r="H298" t="s">
        <v>112</v>
      </c>
      <c r="I298" t="str">
        <f>_xlfn.IFNA(VLOOKUP(C298,merchants!$A$2:$D$41,2,FALSE),"Merchant not found")</f>
        <v>Merchant_029</v>
      </c>
      <c r="J298" t="str">
        <f>_xlfn.IFNA(VLOOKUP(C298,merchants!$A$2:$D$41,3,FALSE),"Merchant not found")</f>
        <v>ecommerce</v>
      </c>
      <c r="K298" t="str">
        <f>_xlfn.IFNA(VLOOKUP(C298,merchants!$A$2:$D$41,4,FALSE),"Merchant not found")</f>
        <v>North</v>
      </c>
      <c r="L298">
        <f t="shared" si="12"/>
        <v>46026</v>
      </c>
      <c r="M298">
        <f t="shared" si="13"/>
        <v>0</v>
      </c>
      <c r="N298" t="str">
        <f t="shared" si="14"/>
        <v>Standard</v>
      </c>
      <c r="O298">
        <f>HLOOKUP(F298,fee_lookup!$B$1:$E$2,2,FALSE)</f>
        <v>0.01</v>
      </c>
    </row>
    <row r="299" spans="1:15" x14ac:dyDescent="0.3">
      <c r="A299" t="s">
        <v>916</v>
      </c>
      <c r="B299" t="s">
        <v>917</v>
      </c>
      <c r="C299" t="s">
        <v>60</v>
      </c>
      <c r="D299" t="s">
        <v>918</v>
      </c>
      <c r="E299" t="s">
        <v>140</v>
      </c>
      <c r="F299" t="s">
        <v>113</v>
      </c>
      <c r="G299" t="s">
        <v>107</v>
      </c>
      <c r="H299" t="s">
        <v>811</v>
      </c>
      <c r="I299" t="str">
        <f>_xlfn.IFNA(VLOOKUP(C299,merchants!$A$2:$D$41,2,FALSE),"Merchant not found")</f>
        <v>Merchant_024</v>
      </c>
      <c r="J299" t="str">
        <f>_xlfn.IFNA(VLOOKUP(C299,merchants!$A$2:$D$41,3,FALSE),"Merchant not found")</f>
        <v>grocery</v>
      </c>
      <c r="K299" t="str">
        <f>_xlfn.IFNA(VLOOKUP(C299,merchants!$A$2:$D$41,4,FALSE),"Merchant not found")</f>
        <v>North</v>
      </c>
      <c r="L299">
        <f t="shared" si="12"/>
        <v>46033</v>
      </c>
      <c r="M299">
        <f t="shared" si="13"/>
        <v>0</v>
      </c>
      <c r="N299" t="str">
        <f t="shared" si="14"/>
        <v>Standard</v>
      </c>
      <c r="O299">
        <f>HLOOKUP(F299,fee_lookup!$B$1:$E$2,2,FALSE)</f>
        <v>2E-3</v>
      </c>
    </row>
    <row r="300" spans="1:15" x14ac:dyDescent="0.3">
      <c r="A300" t="s">
        <v>919</v>
      </c>
      <c r="B300" t="s">
        <v>920</v>
      </c>
      <c r="C300" t="s">
        <v>20</v>
      </c>
      <c r="D300" t="s">
        <v>921</v>
      </c>
      <c r="E300" t="s">
        <v>127</v>
      </c>
      <c r="F300" t="s">
        <v>113</v>
      </c>
      <c r="G300" t="s">
        <v>107</v>
      </c>
      <c r="H300" t="s">
        <v>187</v>
      </c>
      <c r="I300" t="str">
        <f>_xlfn.IFNA(VLOOKUP(C300,merchants!$A$2:$D$41,2,FALSE),"Merchant not found")</f>
        <v>Merchant_006</v>
      </c>
      <c r="J300" t="str">
        <f>_xlfn.IFNA(VLOOKUP(C300,merchants!$A$2:$D$41,3,FALSE),"Merchant not found")</f>
        <v>food_delivery</v>
      </c>
      <c r="K300" t="str">
        <f>_xlfn.IFNA(VLOOKUP(C300,merchants!$A$2:$D$41,4,FALSE),"Merchant not found")</f>
        <v>South</v>
      </c>
      <c r="L300">
        <f t="shared" si="12"/>
        <v>46031</v>
      </c>
      <c r="M300">
        <f t="shared" si="13"/>
        <v>0</v>
      </c>
      <c r="N300" t="str">
        <f t="shared" si="14"/>
        <v>Standard</v>
      </c>
      <c r="O300">
        <f>HLOOKUP(F300,fee_lookup!$B$1:$E$2,2,FALSE)</f>
        <v>2E-3</v>
      </c>
    </row>
    <row r="301" spans="1:15" x14ac:dyDescent="0.3">
      <c r="A301" t="s">
        <v>922</v>
      </c>
      <c r="B301" t="s">
        <v>358</v>
      </c>
      <c r="C301" t="s">
        <v>54</v>
      </c>
      <c r="D301" t="s">
        <v>923</v>
      </c>
      <c r="E301" t="s">
        <v>112</v>
      </c>
      <c r="F301" t="s">
        <v>113</v>
      </c>
      <c r="G301" t="s">
        <v>107</v>
      </c>
      <c r="H301" t="s">
        <v>36</v>
      </c>
      <c r="I301" t="str">
        <f>_xlfn.IFNA(VLOOKUP(C301,merchants!$A$2:$D$41,2,FALSE),"Merchant not found")</f>
        <v>Merchant_021</v>
      </c>
      <c r="J301" t="str">
        <f>_xlfn.IFNA(VLOOKUP(C301,merchants!$A$2:$D$41,3,FALSE),"Merchant not found")</f>
        <v>food_delivery</v>
      </c>
      <c r="K301" t="str">
        <f>_xlfn.IFNA(VLOOKUP(C301,merchants!$A$2:$D$41,4,FALSE),"Merchant not found")</f>
        <v>East</v>
      </c>
      <c r="L301">
        <f t="shared" si="12"/>
        <v>46042</v>
      </c>
      <c r="M301">
        <f t="shared" si="13"/>
        <v>0</v>
      </c>
      <c r="N301" t="str">
        <f t="shared" si="14"/>
        <v>Standard</v>
      </c>
      <c r="O301">
        <f>HLOOKUP(F301,fee_lookup!$B$1:$E$2,2,FALSE)</f>
        <v>2E-3</v>
      </c>
    </row>
    <row r="302" spans="1:15" x14ac:dyDescent="0.3">
      <c r="A302" t="s">
        <v>924</v>
      </c>
      <c r="B302" t="s">
        <v>563</v>
      </c>
      <c r="C302" t="s">
        <v>52</v>
      </c>
      <c r="D302" t="s">
        <v>925</v>
      </c>
      <c r="E302" t="s">
        <v>112</v>
      </c>
      <c r="F302" t="s">
        <v>113</v>
      </c>
      <c r="G302" t="s">
        <v>107</v>
      </c>
      <c r="H302" t="s">
        <v>356</v>
      </c>
      <c r="I302" t="str">
        <f>_xlfn.IFNA(VLOOKUP(C302,merchants!$A$2:$D$41,2,FALSE),"Merchant not found")</f>
        <v>Merchant_020</v>
      </c>
      <c r="J302" t="str">
        <f>_xlfn.IFNA(VLOOKUP(C302,merchants!$A$2:$D$41,3,FALSE),"Merchant not found")</f>
        <v>food_delivery</v>
      </c>
      <c r="K302" t="str">
        <f>_xlfn.IFNA(VLOOKUP(C302,merchants!$A$2:$D$41,4,FALSE),"Merchant not found")</f>
        <v>East</v>
      </c>
      <c r="L302">
        <f t="shared" si="12"/>
        <v>46025</v>
      </c>
      <c r="M302">
        <f t="shared" si="13"/>
        <v>0</v>
      </c>
      <c r="N302" t="str">
        <f t="shared" si="14"/>
        <v>Standard</v>
      </c>
      <c r="O302">
        <f>HLOOKUP(F302,fee_lookup!$B$1:$E$2,2,FALSE)</f>
        <v>2E-3</v>
      </c>
    </row>
    <row r="303" spans="1:15" x14ac:dyDescent="0.3">
      <c r="A303" t="s">
        <v>926</v>
      </c>
      <c r="B303" t="s">
        <v>180</v>
      </c>
      <c r="C303" t="s">
        <v>70</v>
      </c>
      <c r="D303" t="s">
        <v>927</v>
      </c>
      <c r="E303" t="s">
        <v>227</v>
      </c>
      <c r="F303" t="s">
        <v>154</v>
      </c>
      <c r="G303" t="s">
        <v>107</v>
      </c>
      <c r="H303" t="s">
        <v>141</v>
      </c>
      <c r="I303" t="str">
        <f>_xlfn.IFNA(VLOOKUP(C303,merchants!$A$2:$D$41,2,FALSE),"Merchant not found")</f>
        <v>Merchant_029</v>
      </c>
      <c r="J303" t="str">
        <f>_xlfn.IFNA(VLOOKUP(C303,merchants!$A$2:$D$41,3,FALSE),"Merchant not found")</f>
        <v>ecommerce</v>
      </c>
      <c r="K303" t="str">
        <f>_xlfn.IFNA(VLOOKUP(C303,merchants!$A$2:$D$41,4,FALSE),"Merchant not found")</f>
        <v>North</v>
      </c>
      <c r="L303">
        <f t="shared" si="12"/>
        <v>46042</v>
      </c>
      <c r="M303">
        <f t="shared" si="13"/>
        <v>0</v>
      </c>
      <c r="N303" t="str">
        <f t="shared" si="14"/>
        <v>Standard</v>
      </c>
      <c r="O303">
        <f>HLOOKUP(F303,fee_lookup!$B$1:$E$2,2,FALSE)</f>
        <v>1.7999999999999999E-2</v>
      </c>
    </row>
    <row r="304" spans="1:15" x14ac:dyDescent="0.3">
      <c r="A304" t="s">
        <v>928</v>
      </c>
      <c r="B304" t="s">
        <v>929</v>
      </c>
      <c r="C304" t="s">
        <v>93</v>
      </c>
      <c r="D304" t="s">
        <v>930</v>
      </c>
      <c r="E304" t="s">
        <v>227</v>
      </c>
      <c r="F304" t="s">
        <v>113</v>
      </c>
      <c r="G304" t="s">
        <v>107</v>
      </c>
      <c r="H304" t="s">
        <v>187</v>
      </c>
      <c r="I304" t="str">
        <f>_xlfn.IFNA(VLOOKUP(C304,merchants!$A$2:$D$41,2,FALSE),"Merchant not found")</f>
        <v>Merchant_040</v>
      </c>
      <c r="J304" t="str">
        <f>_xlfn.IFNA(VLOOKUP(C304,merchants!$A$2:$D$41,3,FALSE),"Merchant not found")</f>
        <v>entertainment</v>
      </c>
      <c r="K304" t="str">
        <f>_xlfn.IFNA(VLOOKUP(C304,merchants!$A$2:$D$41,4,FALSE),"Merchant not found")</f>
        <v>South</v>
      </c>
      <c r="L304">
        <f t="shared" si="12"/>
        <v>46037</v>
      </c>
      <c r="M304">
        <f t="shared" si="13"/>
        <v>0</v>
      </c>
      <c r="N304" t="str">
        <f t="shared" si="14"/>
        <v>Standard</v>
      </c>
      <c r="O304">
        <f>HLOOKUP(F304,fee_lookup!$B$1:$E$2,2,FALSE)</f>
        <v>2E-3</v>
      </c>
    </row>
    <row r="305" spans="1:15" x14ac:dyDescent="0.3">
      <c r="A305" t="s">
        <v>931</v>
      </c>
      <c r="B305" t="s">
        <v>72</v>
      </c>
      <c r="C305" t="s">
        <v>17</v>
      </c>
      <c r="D305" t="s">
        <v>932</v>
      </c>
      <c r="E305" t="s">
        <v>145</v>
      </c>
      <c r="F305" t="s">
        <v>113</v>
      </c>
      <c r="G305" t="s">
        <v>107</v>
      </c>
      <c r="H305" t="s">
        <v>108</v>
      </c>
      <c r="I305" t="str">
        <f>_xlfn.IFNA(VLOOKUP(C305,merchants!$A$2:$D$41,2,FALSE),"Merchant not found")</f>
        <v>Merchant_005</v>
      </c>
      <c r="J305" t="str">
        <f>_xlfn.IFNA(VLOOKUP(C305,merchants!$A$2:$D$41,3,FALSE),"Merchant not found")</f>
        <v>recharge</v>
      </c>
      <c r="K305" t="str">
        <f>_xlfn.IFNA(VLOOKUP(C305,merchants!$A$2:$D$41,4,FALSE),"Merchant not found")</f>
        <v>South</v>
      </c>
      <c r="L305">
        <f t="shared" si="12"/>
        <v>46031</v>
      </c>
      <c r="M305">
        <f t="shared" si="13"/>
        <v>0</v>
      </c>
      <c r="N305" t="str">
        <f t="shared" si="14"/>
        <v>Standard</v>
      </c>
      <c r="O305">
        <f>HLOOKUP(F305,fee_lookup!$B$1:$E$2,2,FALSE)</f>
        <v>2E-3</v>
      </c>
    </row>
    <row r="306" spans="1:15" x14ac:dyDescent="0.3">
      <c r="A306" t="s">
        <v>933</v>
      </c>
      <c r="B306" t="s">
        <v>934</v>
      </c>
      <c r="C306" t="s">
        <v>32</v>
      </c>
      <c r="D306" t="s">
        <v>935</v>
      </c>
      <c r="E306" t="s">
        <v>227</v>
      </c>
      <c r="F306" t="s">
        <v>106</v>
      </c>
      <c r="G306" t="s">
        <v>107</v>
      </c>
      <c r="H306" t="s">
        <v>12</v>
      </c>
      <c r="I306" t="str">
        <f>_xlfn.IFNA(VLOOKUP(C306,merchants!$A$2:$D$41,2,FALSE),"Merchant not found")</f>
        <v>Merchant_011</v>
      </c>
      <c r="J306" t="str">
        <f>_xlfn.IFNA(VLOOKUP(C306,merchants!$A$2:$D$41,3,FALSE),"Merchant not found")</f>
        <v>ecommerce</v>
      </c>
      <c r="K306" t="str">
        <f>_xlfn.IFNA(VLOOKUP(C306,merchants!$A$2:$D$41,4,FALSE),"Merchant not found")</f>
        <v>North</v>
      </c>
      <c r="L306">
        <f t="shared" si="12"/>
        <v>46043</v>
      </c>
      <c r="M306">
        <f t="shared" si="13"/>
        <v>0</v>
      </c>
      <c r="N306" t="str">
        <f t="shared" si="14"/>
        <v>Standard</v>
      </c>
      <c r="O306">
        <f>HLOOKUP(F306,fee_lookup!$B$1:$E$2,2,FALSE)</f>
        <v>0.01</v>
      </c>
    </row>
    <row r="307" spans="1:15" x14ac:dyDescent="0.3">
      <c r="A307" t="s">
        <v>936</v>
      </c>
      <c r="B307" t="s">
        <v>937</v>
      </c>
      <c r="C307" t="s">
        <v>12</v>
      </c>
      <c r="D307" t="s">
        <v>938</v>
      </c>
      <c r="E307" t="s">
        <v>127</v>
      </c>
      <c r="F307" t="s">
        <v>122</v>
      </c>
      <c r="G307" t="s">
        <v>107</v>
      </c>
      <c r="H307" t="s">
        <v>43</v>
      </c>
      <c r="I307" t="str">
        <f>_xlfn.IFNA(VLOOKUP(C307,merchants!$A$2:$D$41,2,FALSE),"Merchant not found")</f>
        <v>Merchant_003</v>
      </c>
      <c r="J307" t="str">
        <f>_xlfn.IFNA(VLOOKUP(C307,merchants!$A$2:$D$41,3,FALSE),"Merchant not found")</f>
        <v>grocery</v>
      </c>
      <c r="K307" t="str">
        <f>_xlfn.IFNA(VLOOKUP(C307,merchants!$A$2:$D$41,4,FALSE),"Merchant not found")</f>
        <v>East</v>
      </c>
      <c r="L307">
        <f t="shared" si="12"/>
        <v>46027</v>
      </c>
      <c r="M307">
        <f t="shared" si="13"/>
        <v>0</v>
      </c>
      <c r="N307" t="str">
        <f t="shared" si="14"/>
        <v>Standard</v>
      </c>
      <c r="O307">
        <f>HLOOKUP(F307,fee_lookup!$B$1:$E$2,2,FALSE)</f>
        <v>1.2E-2</v>
      </c>
    </row>
    <row r="308" spans="1:15" x14ac:dyDescent="0.3">
      <c r="A308" t="s">
        <v>939</v>
      </c>
      <c r="B308" t="s">
        <v>622</v>
      </c>
      <c r="C308" t="s">
        <v>60</v>
      </c>
      <c r="D308" t="s">
        <v>940</v>
      </c>
      <c r="E308" t="s">
        <v>112</v>
      </c>
      <c r="F308" t="s">
        <v>154</v>
      </c>
      <c r="G308" t="s">
        <v>107</v>
      </c>
      <c r="H308" t="s">
        <v>166</v>
      </c>
      <c r="I308" t="str">
        <f>_xlfn.IFNA(VLOOKUP(C308,merchants!$A$2:$D$41,2,FALSE),"Merchant not found")</f>
        <v>Merchant_024</v>
      </c>
      <c r="J308" t="str">
        <f>_xlfn.IFNA(VLOOKUP(C308,merchants!$A$2:$D$41,3,FALSE),"Merchant not found")</f>
        <v>grocery</v>
      </c>
      <c r="K308" t="str">
        <f>_xlfn.IFNA(VLOOKUP(C308,merchants!$A$2:$D$41,4,FALSE),"Merchant not found")</f>
        <v>North</v>
      </c>
      <c r="L308">
        <f t="shared" si="12"/>
        <v>46025</v>
      </c>
      <c r="M308">
        <f t="shared" si="13"/>
        <v>0</v>
      </c>
      <c r="N308" t="str">
        <f t="shared" si="14"/>
        <v>Standard</v>
      </c>
      <c r="O308">
        <f>HLOOKUP(F308,fee_lookup!$B$1:$E$2,2,FALSE)</f>
        <v>1.7999999999999999E-2</v>
      </c>
    </row>
    <row r="309" spans="1:15" x14ac:dyDescent="0.3">
      <c r="A309" t="s">
        <v>941</v>
      </c>
      <c r="B309" t="s">
        <v>784</v>
      </c>
      <c r="C309" t="s">
        <v>30</v>
      </c>
      <c r="D309" t="s">
        <v>942</v>
      </c>
      <c r="E309" t="s">
        <v>118</v>
      </c>
      <c r="F309" t="s">
        <v>154</v>
      </c>
      <c r="G309" t="s">
        <v>107</v>
      </c>
      <c r="H309" t="s">
        <v>180</v>
      </c>
      <c r="I309" t="str">
        <f>_xlfn.IFNA(VLOOKUP(C309,merchants!$A$2:$D$41,2,FALSE),"Merchant not found")</f>
        <v>Merchant_010</v>
      </c>
      <c r="J309" t="str">
        <f>_xlfn.IFNA(VLOOKUP(C309,merchants!$A$2:$D$41,3,FALSE),"Merchant not found")</f>
        <v>grocery</v>
      </c>
      <c r="K309" t="str">
        <f>_xlfn.IFNA(VLOOKUP(C309,merchants!$A$2:$D$41,4,FALSE),"Merchant not found")</f>
        <v>West</v>
      </c>
      <c r="L309">
        <f t="shared" si="12"/>
        <v>46035</v>
      </c>
      <c r="M309">
        <f t="shared" si="13"/>
        <v>0</v>
      </c>
      <c r="N309" t="str">
        <f t="shared" si="14"/>
        <v>Standard</v>
      </c>
      <c r="O309">
        <f>HLOOKUP(F309,fee_lookup!$B$1:$E$2,2,FALSE)</f>
        <v>1.7999999999999999E-2</v>
      </c>
    </row>
    <row r="310" spans="1:15" x14ac:dyDescent="0.3">
      <c r="A310" t="s">
        <v>943</v>
      </c>
      <c r="B310" t="s">
        <v>944</v>
      </c>
      <c r="C310" t="s">
        <v>17</v>
      </c>
      <c r="D310" t="s">
        <v>945</v>
      </c>
      <c r="E310" t="s">
        <v>112</v>
      </c>
      <c r="F310" t="s">
        <v>113</v>
      </c>
      <c r="G310" t="s">
        <v>107</v>
      </c>
      <c r="H310" t="s">
        <v>508</v>
      </c>
      <c r="I310" t="str">
        <f>_xlfn.IFNA(VLOOKUP(C310,merchants!$A$2:$D$41,2,FALSE),"Merchant not found")</f>
        <v>Merchant_005</v>
      </c>
      <c r="J310" t="str">
        <f>_xlfn.IFNA(VLOOKUP(C310,merchants!$A$2:$D$41,3,FALSE),"Merchant not found")</f>
        <v>recharge</v>
      </c>
      <c r="K310" t="str">
        <f>_xlfn.IFNA(VLOOKUP(C310,merchants!$A$2:$D$41,4,FALSE),"Merchant not found")</f>
        <v>South</v>
      </c>
      <c r="L310">
        <f t="shared" si="12"/>
        <v>46037</v>
      </c>
      <c r="M310">
        <f t="shared" si="13"/>
        <v>0</v>
      </c>
      <c r="N310" t="str">
        <f t="shared" si="14"/>
        <v>Standard</v>
      </c>
      <c r="O310">
        <f>HLOOKUP(F310,fee_lookup!$B$1:$E$2,2,FALSE)</f>
        <v>2E-3</v>
      </c>
    </row>
    <row r="311" spans="1:15" x14ac:dyDescent="0.3">
      <c r="A311" t="s">
        <v>946</v>
      </c>
      <c r="B311" t="s">
        <v>906</v>
      </c>
      <c r="C311" t="s">
        <v>54</v>
      </c>
      <c r="D311" t="s">
        <v>947</v>
      </c>
      <c r="E311" t="s">
        <v>220</v>
      </c>
      <c r="F311" t="s">
        <v>113</v>
      </c>
      <c r="G311" t="s">
        <v>107</v>
      </c>
      <c r="H311" t="s">
        <v>519</v>
      </c>
      <c r="I311" t="str">
        <f>_xlfn.IFNA(VLOOKUP(C311,merchants!$A$2:$D$41,2,FALSE),"Merchant not found")</f>
        <v>Merchant_021</v>
      </c>
      <c r="J311" t="str">
        <f>_xlfn.IFNA(VLOOKUP(C311,merchants!$A$2:$D$41,3,FALSE),"Merchant not found")</f>
        <v>food_delivery</v>
      </c>
      <c r="K311" t="str">
        <f>_xlfn.IFNA(VLOOKUP(C311,merchants!$A$2:$D$41,4,FALSE),"Merchant not found")</f>
        <v>East</v>
      </c>
      <c r="L311">
        <f t="shared" si="12"/>
        <v>46027</v>
      </c>
      <c r="M311">
        <f t="shared" si="13"/>
        <v>0</v>
      </c>
      <c r="N311" t="str">
        <f t="shared" si="14"/>
        <v>Standard</v>
      </c>
      <c r="O311">
        <f>HLOOKUP(F311,fee_lookup!$B$1:$E$2,2,FALSE)</f>
        <v>2E-3</v>
      </c>
    </row>
    <row r="312" spans="1:15" x14ac:dyDescent="0.3">
      <c r="A312" t="s">
        <v>948</v>
      </c>
      <c r="B312" t="s">
        <v>39</v>
      </c>
      <c r="C312" t="s">
        <v>34</v>
      </c>
      <c r="D312" t="s">
        <v>372</v>
      </c>
      <c r="E312" t="s">
        <v>140</v>
      </c>
      <c r="F312" t="s">
        <v>122</v>
      </c>
      <c r="G312" t="s">
        <v>107</v>
      </c>
      <c r="H312" t="s">
        <v>222</v>
      </c>
      <c r="I312" t="str">
        <f>_xlfn.IFNA(VLOOKUP(C312,merchants!$A$2:$D$41,2,FALSE),"Merchant not found")</f>
        <v>Merchant_012</v>
      </c>
      <c r="J312" t="str">
        <f>_xlfn.IFNA(VLOOKUP(C312,merchants!$A$2:$D$41,3,FALSE),"Merchant not found")</f>
        <v>ecommerce</v>
      </c>
      <c r="K312" t="str">
        <f>_xlfn.IFNA(VLOOKUP(C312,merchants!$A$2:$D$41,4,FALSE),"Merchant not found")</f>
        <v>East</v>
      </c>
      <c r="L312">
        <f t="shared" si="12"/>
        <v>46031</v>
      </c>
      <c r="M312">
        <f t="shared" si="13"/>
        <v>0</v>
      </c>
      <c r="N312" t="str">
        <f t="shared" si="14"/>
        <v>Standard</v>
      </c>
      <c r="O312">
        <f>HLOOKUP(F312,fee_lookup!$B$1:$E$2,2,FALSE)</f>
        <v>1.2E-2</v>
      </c>
    </row>
    <row r="313" spans="1:15" x14ac:dyDescent="0.3">
      <c r="A313" t="s">
        <v>949</v>
      </c>
      <c r="B313" t="s">
        <v>602</v>
      </c>
      <c r="C313" t="s">
        <v>25</v>
      </c>
      <c r="D313" t="s">
        <v>950</v>
      </c>
      <c r="E313" t="s">
        <v>112</v>
      </c>
      <c r="F313" t="s">
        <v>113</v>
      </c>
      <c r="G313" t="s">
        <v>107</v>
      </c>
      <c r="H313" t="s">
        <v>78</v>
      </c>
      <c r="I313" t="str">
        <f>_xlfn.IFNA(VLOOKUP(C313,merchants!$A$2:$D$41,2,FALSE),"Merchant not found")</f>
        <v>Merchant_008</v>
      </c>
      <c r="J313" t="str">
        <f>_xlfn.IFNA(VLOOKUP(C313,merchants!$A$2:$D$41,3,FALSE),"Merchant not found")</f>
        <v>food_delivery</v>
      </c>
      <c r="K313" t="str">
        <f>_xlfn.IFNA(VLOOKUP(C313,merchants!$A$2:$D$41,4,FALSE),"Merchant not found")</f>
        <v>North</v>
      </c>
      <c r="L313">
        <f t="shared" si="12"/>
        <v>46039</v>
      </c>
      <c r="M313">
        <f t="shared" si="13"/>
        <v>0</v>
      </c>
      <c r="N313" t="str">
        <f t="shared" si="14"/>
        <v>Standard</v>
      </c>
      <c r="O313">
        <f>HLOOKUP(F313,fee_lookup!$B$1:$E$2,2,FALSE)</f>
        <v>2E-3</v>
      </c>
    </row>
    <row r="314" spans="1:15" x14ac:dyDescent="0.3">
      <c r="A314" t="s">
        <v>951</v>
      </c>
      <c r="B314" t="s">
        <v>952</v>
      </c>
      <c r="C314" t="s">
        <v>39</v>
      </c>
      <c r="D314" t="s">
        <v>953</v>
      </c>
      <c r="E314" t="s">
        <v>118</v>
      </c>
      <c r="F314" t="s">
        <v>113</v>
      </c>
      <c r="G314" t="s">
        <v>107</v>
      </c>
      <c r="H314" t="s">
        <v>208</v>
      </c>
      <c r="I314" t="str">
        <f>_xlfn.IFNA(VLOOKUP(C314,merchants!$A$2:$D$41,2,FALSE),"Merchant not found")</f>
        <v>Merchant_014</v>
      </c>
      <c r="J314" t="str">
        <f>_xlfn.IFNA(VLOOKUP(C314,merchants!$A$2:$D$41,3,FALSE),"Merchant not found")</f>
        <v>grocery</v>
      </c>
      <c r="K314" t="str">
        <f>_xlfn.IFNA(VLOOKUP(C314,merchants!$A$2:$D$41,4,FALSE),"Merchant not found")</f>
        <v>East</v>
      </c>
      <c r="L314">
        <f t="shared" si="12"/>
        <v>46047</v>
      </c>
      <c r="M314">
        <f t="shared" si="13"/>
        <v>0</v>
      </c>
      <c r="N314" t="str">
        <f t="shared" si="14"/>
        <v>Standard</v>
      </c>
      <c r="O314">
        <f>HLOOKUP(F314,fee_lookup!$B$1:$E$2,2,FALSE)</f>
        <v>2E-3</v>
      </c>
    </row>
    <row r="315" spans="1:15" x14ac:dyDescent="0.3">
      <c r="A315" t="s">
        <v>954</v>
      </c>
      <c r="B315" t="s">
        <v>387</v>
      </c>
      <c r="C315" t="s">
        <v>36</v>
      </c>
      <c r="D315" t="s">
        <v>955</v>
      </c>
      <c r="E315" t="s">
        <v>127</v>
      </c>
      <c r="F315" t="s">
        <v>106</v>
      </c>
      <c r="G315" t="s">
        <v>107</v>
      </c>
      <c r="H315" t="s">
        <v>41</v>
      </c>
      <c r="I315" t="str">
        <f>_xlfn.IFNA(VLOOKUP(C315,merchants!$A$2:$D$41,2,FALSE),"Merchant not found")</f>
        <v>Merchant_013</v>
      </c>
      <c r="J315" t="str">
        <f>_xlfn.IFNA(VLOOKUP(C315,merchants!$A$2:$D$41,3,FALSE),"Merchant not found")</f>
        <v>travel</v>
      </c>
      <c r="K315" t="str">
        <f>_xlfn.IFNA(VLOOKUP(C315,merchants!$A$2:$D$41,4,FALSE),"Merchant not found")</f>
        <v>East</v>
      </c>
      <c r="L315">
        <f t="shared" si="12"/>
        <v>46032</v>
      </c>
      <c r="M315">
        <f t="shared" si="13"/>
        <v>0</v>
      </c>
      <c r="N315" t="str">
        <f t="shared" si="14"/>
        <v>Standard</v>
      </c>
      <c r="O315">
        <f>HLOOKUP(F315,fee_lookup!$B$1:$E$2,2,FALSE)</f>
        <v>0.01</v>
      </c>
    </row>
    <row r="316" spans="1:15" x14ac:dyDescent="0.3">
      <c r="A316" t="s">
        <v>956</v>
      </c>
      <c r="B316" t="s">
        <v>385</v>
      </c>
      <c r="C316" t="s">
        <v>70</v>
      </c>
      <c r="D316" t="s">
        <v>957</v>
      </c>
      <c r="E316" t="s">
        <v>140</v>
      </c>
      <c r="F316" t="s">
        <v>113</v>
      </c>
      <c r="G316" t="s">
        <v>107</v>
      </c>
      <c r="H316" t="s">
        <v>32</v>
      </c>
      <c r="I316" t="str">
        <f>_xlfn.IFNA(VLOOKUP(C316,merchants!$A$2:$D$41,2,FALSE),"Merchant not found")</f>
        <v>Merchant_029</v>
      </c>
      <c r="J316" t="str">
        <f>_xlfn.IFNA(VLOOKUP(C316,merchants!$A$2:$D$41,3,FALSE),"Merchant not found")</f>
        <v>ecommerce</v>
      </c>
      <c r="K316" t="str">
        <f>_xlfn.IFNA(VLOOKUP(C316,merchants!$A$2:$D$41,4,FALSE),"Merchant not found")</f>
        <v>North</v>
      </c>
      <c r="L316">
        <f t="shared" si="12"/>
        <v>46027</v>
      </c>
      <c r="M316">
        <f t="shared" si="13"/>
        <v>0</v>
      </c>
      <c r="N316" t="str">
        <f t="shared" si="14"/>
        <v>Standard</v>
      </c>
      <c r="O316">
        <f>HLOOKUP(F316,fee_lookup!$B$1:$E$2,2,FALSE)</f>
        <v>2E-3</v>
      </c>
    </row>
    <row r="317" spans="1:15" x14ac:dyDescent="0.3">
      <c r="A317" t="s">
        <v>958</v>
      </c>
      <c r="B317" t="s">
        <v>959</v>
      </c>
      <c r="C317" t="s">
        <v>58</v>
      </c>
      <c r="D317" t="s">
        <v>960</v>
      </c>
      <c r="E317" t="s">
        <v>112</v>
      </c>
      <c r="F317" t="s">
        <v>122</v>
      </c>
      <c r="G317" t="s">
        <v>107</v>
      </c>
      <c r="H317" t="s">
        <v>162</v>
      </c>
      <c r="I317" t="str">
        <f>_xlfn.IFNA(VLOOKUP(C317,merchants!$A$2:$D$41,2,FALSE),"Merchant not found")</f>
        <v>Merchant_023</v>
      </c>
      <c r="J317" t="str">
        <f>_xlfn.IFNA(VLOOKUP(C317,merchants!$A$2:$D$41,3,FALSE),"Merchant not found")</f>
        <v>travel</v>
      </c>
      <c r="K317" t="str">
        <f>_xlfn.IFNA(VLOOKUP(C317,merchants!$A$2:$D$41,4,FALSE),"Merchant not found")</f>
        <v>North</v>
      </c>
      <c r="L317">
        <f t="shared" si="12"/>
        <v>46048</v>
      </c>
      <c r="M317">
        <f t="shared" si="13"/>
        <v>0</v>
      </c>
      <c r="N317" t="str">
        <f t="shared" si="14"/>
        <v>Standard</v>
      </c>
      <c r="O317">
        <f>HLOOKUP(F317,fee_lookup!$B$1:$E$2,2,FALSE)</f>
        <v>1.2E-2</v>
      </c>
    </row>
    <row r="318" spans="1:15" x14ac:dyDescent="0.3">
      <c r="A318" t="s">
        <v>961</v>
      </c>
      <c r="B318" t="s">
        <v>227</v>
      </c>
      <c r="C318" t="s">
        <v>52</v>
      </c>
      <c r="D318" t="s">
        <v>962</v>
      </c>
      <c r="E318" t="s">
        <v>145</v>
      </c>
      <c r="F318" t="s">
        <v>106</v>
      </c>
      <c r="G318" t="s">
        <v>107</v>
      </c>
      <c r="H318" t="s">
        <v>52</v>
      </c>
      <c r="I318" t="str">
        <f>_xlfn.IFNA(VLOOKUP(C318,merchants!$A$2:$D$41,2,FALSE),"Merchant not found")</f>
        <v>Merchant_020</v>
      </c>
      <c r="J318" t="str">
        <f>_xlfn.IFNA(VLOOKUP(C318,merchants!$A$2:$D$41,3,FALSE),"Merchant not found")</f>
        <v>food_delivery</v>
      </c>
      <c r="K318" t="str">
        <f>_xlfn.IFNA(VLOOKUP(C318,merchants!$A$2:$D$41,4,FALSE),"Merchant not found")</f>
        <v>East</v>
      </c>
      <c r="L318">
        <f t="shared" si="12"/>
        <v>46025</v>
      </c>
      <c r="M318">
        <f t="shared" si="13"/>
        <v>0</v>
      </c>
      <c r="N318" t="str">
        <f t="shared" si="14"/>
        <v>Standard</v>
      </c>
      <c r="O318">
        <f>HLOOKUP(F318,fee_lookup!$B$1:$E$2,2,FALSE)</f>
        <v>0.01</v>
      </c>
    </row>
    <row r="319" spans="1:15" x14ac:dyDescent="0.3">
      <c r="A319" t="s">
        <v>963</v>
      </c>
      <c r="B319" t="s">
        <v>236</v>
      </c>
      <c r="C319" t="s">
        <v>34</v>
      </c>
      <c r="D319" t="s">
        <v>964</v>
      </c>
      <c r="E319" t="s">
        <v>112</v>
      </c>
      <c r="F319" t="s">
        <v>122</v>
      </c>
      <c r="G319" t="s">
        <v>107</v>
      </c>
      <c r="H319" t="s">
        <v>166</v>
      </c>
      <c r="I319" t="str">
        <f>_xlfn.IFNA(VLOOKUP(C319,merchants!$A$2:$D$41,2,FALSE),"Merchant not found")</f>
        <v>Merchant_012</v>
      </c>
      <c r="J319" t="str">
        <f>_xlfn.IFNA(VLOOKUP(C319,merchants!$A$2:$D$41,3,FALSE),"Merchant not found")</f>
        <v>ecommerce</v>
      </c>
      <c r="K319" t="str">
        <f>_xlfn.IFNA(VLOOKUP(C319,merchants!$A$2:$D$41,4,FALSE),"Merchant not found")</f>
        <v>East</v>
      </c>
      <c r="L319">
        <f t="shared" si="12"/>
        <v>46045</v>
      </c>
      <c r="M319">
        <f t="shared" si="13"/>
        <v>0</v>
      </c>
      <c r="N319" t="str">
        <f t="shared" si="14"/>
        <v>Standard</v>
      </c>
      <c r="O319">
        <f>HLOOKUP(F319,fee_lookup!$B$1:$E$2,2,FALSE)</f>
        <v>1.2E-2</v>
      </c>
    </row>
    <row r="320" spans="1:15" x14ac:dyDescent="0.3">
      <c r="A320" t="s">
        <v>965</v>
      </c>
      <c r="B320" t="s">
        <v>839</v>
      </c>
      <c r="C320" t="s">
        <v>28</v>
      </c>
      <c r="D320" t="s">
        <v>966</v>
      </c>
      <c r="E320" t="s">
        <v>227</v>
      </c>
      <c r="F320" t="s">
        <v>113</v>
      </c>
      <c r="G320" t="s">
        <v>107</v>
      </c>
      <c r="H320" t="s">
        <v>72</v>
      </c>
      <c r="I320" t="str">
        <f>_xlfn.IFNA(VLOOKUP(C320,merchants!$A$2:$D$41,2,FALSE),"Merchant not found")</f>
        <v>Merchant_009</v>
      </c>
      <c r="J320" t="str">
        <f>_xlfn.IFNA(VLOOKUP(C320,merchants!$A$2:$D$41,3,FALSE),"Merchant not found")</f>
        <v>ecommerce</v>
      </c>
      <c r="K320" t="str">
        <f>_xlfn.IFNA(VLOOKUP(C320,merchants!$A$2:$D$41,4,FALSE),"Merchant not found")</f>
        <v>North</v>
      </c>
      <c r="L320">
        <f t="shared" si="12"/>
        <v>46039</v>
      </c>
      <c r="M320">
        <f t="shared" si="13"/>
        <v>0</v>
      </c>
      <c r="N320" t="str">
        <f t="shared" si="14"/>
        <v>Standard</v>
      </c>
      <c r="O320">
        <f>HLOOKUP(F320,fee_lookup!$B$1:$E$2,2,FALSE)</f>
        <v>2E-3</v>
      </c>
    </row>
    <row r="321" spans="1:15" x14ac:dyDescent="0.3">
      <c r="A321" t="s">
        <v>967</v>
      </c>
      <c r="B321" t="s">
        <v>968</v>
      </c>
      <c r="C321" t="s">
        <v>84</v>
      </c>
      <c r="D321" t="s">
        <v>969</v>
      </c>
      <c r="E321" t="s">
        <v>112</v>
      </c>
      <c r="F321" t="s">
        <v>106</v>
      </c>
      <c r="G321" t="s">
        <v>107</v>
      </c>
      <c r="H321" t="s">
        <v>508</v>
      </c>
      <c r="I321" t="str">
        <f>_xlfn.IFNA(VLOOKUP(C321,merchants!$A$2:$D$41,2,FALSE),"Merchant not found")</f>
        <v>Merchant_036</v>
      </c>
      <c r="J321" t="str">
        <f>_xlfn.IFNA(VLOOKUP(C321,merchants!$A$2:$D$41,3,FALSE),"Merchant not found")</f>
        <v>entertainment</v>
      </c>
      <c r="K321" t="str">
        <f>_xlfn.IFNA(VLOOKUP(C321,merchants!$A$2:$D$41,4,FALSE),"Merchant not found")</f>
        <v>East</v>
      </c>
      <c r="L321">
        <f t="shared" si="12"/>
        <v>46048</v>
      </c>
      <c r="M321">
        <f t="shared" si="13"/>
        <v>0</v>
      </c>
      <c r="N321" t="str">
        <f t="shared" si="14"/>
        <v>Standard</v>
      </c>
      <c r="O321">
        <f>HLOOKUP(F321,fee_lookup!$B$1:$E$2,2,FALSE)</f>
        <v>0.01</v>
      </c>
    </row>
    <row r="322" spans="1:15" x14ac:dyDescent="0.3">
      <c r="A322" t="s">
        <v>970</v>
      </c>
      <c r="B322" t="s">
        <v>479</v>
      </c>
      <c r="C322" t="s">
        <v>28</v>
      </c>
      <c r="D322" t="s">
        <v>971</v>
      </c>
      <c r="E322" t="s">
        <v>145</v>
      </c>
      <c r="F322" t="s">
        <v>113</v>
      </c>
      <c r="G322" t="s">
        <v>107</v>
      </c>
      <c r="H322" t="s">
        <v>208</v>
      </c>
      <c r="I322" t="str">
        <f>_xlfn.IFNA(VLOOKUP(C322,merchants!$A$2:$D$41,2,FALSE),"Merchant not found")</f>
        <v>Merchant_009</v>
      </c>
      <c r="J322" t="str">
        <f>_xlfn.IFNA(VLOOKUP(C322,merchants!$A$2:$D$41,3,FALSE),"Merchant not found")</f>
        <v>ecommerce</v>
      </c>
      <c r="K322" t="str">
        <f>_xlfn.IFNA(VLOOKUP(C322,merchants!$A$2:$D$41,4,FALSE),"Merchant not found")</f>
        <v>North</v>
      </c>
      <c r="L322">
        <f t="shared" ref="L322:L385" si="15">DATE(LEFT(D322,4),MID(D322,6,2),MID(D322,9,2))</f>
        <v>46034</v>
      </c>
      <c r="M322">
        <f t="shared" ref="M322:M385" si="16">SUMIFS($E:$E,$C:$C,C322,$L:$L,L322)</f>
        <v>0</v>
      </c>
      <c r="N322" t="str">
        <f t="shared" ref="N322:N385" si="17">IF(AND(M322&gt;5000,K322&lt;&gt;"East"),"High-Value Merchant Day","Standard")</f>
        <v>Standard</v>
      </c>
      <c r="O322">
        <f>HLOOKUP(F322,fee_lookup!$B$1:$E$2,2,FALSE)</f>
        <v>2E-3</v>
      </c>
    </row>
    <row r="323" spans="1:15" x14ac:dyDescent="0.3">
      <c r="A323" t="s">
        <v>972</v>
      </c>
      <c r="B323" t="s">
        <v>203</v>
      </c>
      <c r="C323" t="s">
        <v>64</v>
      </c>
      <c r="D323" t="s">
        <v>973</v>
      </c>
      <c r="E323" t="s">
        <v>127</v>
      </c>
      <c r="F323" t="s">
        <v>113</v>
      </c>
      <c r="G323" t="s">
        <v>107</v>
      </c>
      <c r="H323" t="s">
        <v>762</v>
      </c>
      <c r="I323" t="str">
        <f>_xlfn.IFNA(VLOOKUP(C323,merchants!$A$2:$D$41,2,FALSE),"Merchant not found")</f>
        <v>Merchant_026</v>
      </c>
      <c r="J323" t="str">
        <f>_xlfn.IFNA(VLOOKUP(C323,merchants!$A$2:$D$41,3,FALSE),"Merchant not found")</f>
        <v>food_delivery</v>
      </c>
      <c r="K323" t="str">
        <f>_xlfn.IFNA(VLOOKUP(C323,merchants!$A$2:$D$41,4,FALSE),"Merchant not found")</f>
        <v>East</v>
      </c>
      <c r="L323">
        <f t="shared" si="15"/>
        <v>46051</v>
      </c>
      <c r="M323">
        <f t="shared" si="16"/>
        <v>0</v>
      </c>
      <c r="N323" t="str">
        <f t="shared" si="17"/>
        <v>Standard</v>
      </c>
      <c r="O323">
        <f>HLOOKUP(F323,fee_lookup!$B$1:$E$2,2,FALSE)</f>
        <v>2E-3</v>
      </c>
    </row>
    <row r="324" spans="1:15" x14ac:dyDescent="0.3">
      <c r="A324" t="s">
        <v>974</v>
      </c>
      <c r="B324" t="s">
        <v>458</v>
      </c>
      <c r="C324" t="s">
        <v>66</v>
      </c>
      <c r="D324" t="s">
        <v>975</v>
      </c>
      <c r="E324" t="s">
        <v>127</v>
      </c>
      <c r="F324" t="s">
        <v>106</v>
      </c>
      <c r="G324" t="s">
        <v>107</v>
      </c>
      <c r="H324" t="s">
        <v>508</v>
      </c>
      <c r="I324" t="str">
        <f>_xlfn.IFNA(VLOOKUP(C324,merchants!$A$2:$D$41,2,FALSE),"Merchant not found")</f>
        <v>Merchant_027</v>
      </c>
      <c r="J324" t="str">
        <f>_xlfn.IFNA(VLOOKUP(C324,merchants!$A$2:$D$41,3,FALSE),"Merchant not found")</f>
        <v>ecommerce</v>
      </c>
      <c r="K324" t="str">
        <f>_xlfn.IFNA(VLOOKUP(C324,merchants!$A$2:$D$41,4,FALSE),"Merchant not found")</f>
        <v>North</v>
      </c>
      <c r="L324">
        <f t="shared" si="15"/>
        <v>46046</v>
      </c>
      <c r="M324">
        <f t="shared" si="16"/>
        <v>0</v>
      </c>
      <c r="N324" t="str">
        <f t="shared" si="17"/>
        <v>Standard</v>
      </c>
      <c r="O324">
        <f>HLOOKUP(F324,fee_lookup!$B$1:$E$2,2,FALSE)</f>
        <v>0.01</v>
      </c>
    </row>
    <row r="325" spans="1:15" x14ac:dyDescent="0.3">
      <c r="A325" t="s">
        <v>976</v>
      </c>
      <c r="B325" t="s">
        <v>842</v>
      </c>
      <c r="C325" t="s">
        <v>17</v>
      </c>
      <c r="D325" t="s">
        <v>977</v>
      </c>
      <c r="E325" t="s">
        <v>220</v>
      </c>
      <c r="F325" t="s">
        <v>122</v>
      </c>
      <c r="G325" t="s">
        <v>107</v>
      </c>
      <c r="H325" t="s">
        <v>356</v>
      </c>
      <c r="I325" t="str">
        <f>_xlfn.IFNA(VLOOKUP(C325,merchants!$A$2:$D$41,2,FALSE),"Merchant not found")</f>
        <v>Merchant_005</v>
      </c>
      <c r="J325" t="str">
        <f>_xlfn.IFNA(VLOOKUP(C325,merchants!$A$2:$D$41,3,FALSE),"Merchant not found")</f>
        <v>recharge</v>
      </c>
      <c r="K325" t="str">
        <f>_xlfn.IFNA(VLOOKUP(C325,merchants!$A$2:$D$41,4,FALSE),"Merchant not found")</f>
        <v>South</v>
      </c>
      <c r="L325">
        <f t="shared" si="15"/>
        <v>46025</v>
      </c>
      <c r="M325">
        <f t="shared" si="16"/>
        <v>0</v>
      </c>
      <c r="N325" t="str">
        <f t="shared" si="17"/>
        <v>Standard</v>
      </c>
      <c r="O325">
        <f>HLOOKUP(F325,fee_lookup!$B$1:$E$2,2,FALSE)</f>
        <v>1.2E-2</v>
      </c>
    </row>
    <row r="326" spans="1:15" x14ac:dyDescent="0.3">
      <c r="A326" t="s">
        <v>978</v>
      </c>
      <c r="B326" t="s">
        <v>365</v>
      </c>
      <c r="C326" t="s">
        <v>28</v>
      </c>
      <c r="D326" t="s">
        <v>979</v>
      </c>
      <c r="E326" t="s">
        <v>127</v>
      </c>
      <c r="F326" t="s">
        <v>113</v>
      </c>
      <c r="G326" t="s">
        <v>107</v>
      </c>
      <c r="H326" t="s">
        <v>127</v>
      </c>
      <c r="I326" t="str">
        <f>_xlfn.IFNA(VLOOKUP(C326,merchants!$A$2:$D$41,2,FALSE),"Merchant not found")</f>
        <v>Merchant_009</v>
      </c>
      <c r="J326" t="str">
        <f>_xlfn.IFNA(VLOOKUP(C326,merchants!$A$2:$D$41,3,FALSE),"Merchant not found")</f>
        <v>ecommerce</v>
      </c>
      <c r="K326" t="str">
        <f>_xlfn.IFNA(VLOOKUP(C326,merchants!$A$2:$D$41,4,FALSE),"Merchant not found")</f>
        <v>North</v>
      </c>
      <c r="L326">
        <f t="shared" si="15"/>
        <v>46037</v>
      </c>
      <c r="M326">
        <f t="shared" si="16"/>
        <v>0</v>
      </c>
      <c r="N326" t="str">
        <f t="shared" si="17"/>
        <v>Standard</v>
      </c>
      <c r="O326">
        <f>HLOOKUP(F326,fee_lookup!$B$1:$E$2,2,FALSE)</f>
        <v>2E-3</v>
      </c>
    </row>
    <row r="327" spans="1:15" x14ac:dyDescent="0.3">
      <c r="A327" t="s">
        <v>980</v>
      </c>
      <c r="B327" t="s">
        <v>981</v>
      </c>
      <c r="C327" t="s">
        <v>28</v>
      </c>
      <c r="D327" t="s">
        <v>982</v>
      </c>
      <c r="E327" t="s">
        <v>145</v>
      </c>
      <c r="F327" t="s">
        <v>113</v>
      </c>
      <c r="G327" t="s">
        <v>107</v>
      </c>
      <c r="H327" t="s">
        <v>187</v>
      </c>
      <c r="I327" t="str">
        <f>_xlfn.IFNA(VLOOKUP(C327,merchants!$A$2:$D$41,2,FALSE),"Merchant not found")</f>
        <v>Merchant_009</v>
      </c>
      <c r="J327" t="str">
        <f>_xlfn.IFNA(VLOOKUP(C327,merchants!$A$2:$D$41,3,FALSE),"Merchant not found")</f>
        <v>ecommerce</v>
      </c>
      <c r="K327" t="str">
        <f>_xlfn.IFNA(VLOOKUP(C327,merchants!$A$2:$D$41,4,FALSE),"Merchant not found")</f>
        <v>North</v>
      </c>
      <c r="L327">
        <f t="shared" si="15"/>
        <v>46040</v>
      </c>
      <c r="M327">
        <f t="shared" si="16"/>
        <v>0</v>
      </c>
      <c r="N327" t="str">
        <f t="shared" si="17"/>
        <v>Standard</v>
      </c>
      <c r="O327">
        <f>HLOOKUP(F327,fee_lookup!$B$1:$E$2,2,FALSE)</f>
        <v>2E-3</v>
      </c>
    </row>
    <row r="328" spans="1:15" x14ac:dyDescent="0.3">
      <c r="A328" t="s">
        <v>983</v>
      </c>
      <c r="B328" t="s">
        <v>323</v>
      </c>
      <c r="C328" t="s">
        <v>80</v>
      </c>
      <c r="D328" t="s">
        <v>984</v>
      </c>
      <c r="E328" t="s">
        <v>145</v>
      </c>
      <c r="F328" t="s">
        <v>113</v>
      </c>
      <c r="G328" t="s">
        <v>107</v>
      </c>
      <c r="H328" t="s">
        <v>50</v>
      </c>
      <c r="I328" t="str">
        <f>_xlfn.IFNA(VLOOKUP(C328,merchants!$A$2:$D$41,2,FALSE),"Merchant not found")</f>
        <v>Merchant_034</v>
      </c>
      <c r="J328" t="str">
        <f>_xlfn.IFNA(VLOOKUP(C328,merchants!$A$2:$D$41,3,FALSE),"Merchant not found")</f>
        <v>travel</v>
      </c>
      <c r="K328" t="str">
        <f>_xlfn.IFNA(VLOOKUP(C328,merchants!$A$2:$D$41,4,FALSE),"Merchant not found")</f>
        <v>South</v>
      </c>
      <c r="L328">
        <f t="shared" si="15"/>
        <v>46039</v>
      </c>
      <c r="M328">
        <f t="shared" si="16"/>
        <v>0</v>
      </c>
      <c r="N328" t="str">
        <f t="shared" si="17"/>
        <v>Standard</v>
      </c>
      <c r="O328">
        <f>HLOOKUP(F328,fee_lookup!$B$1:$E$2,2,FALSE)</f>
        <v>2E-3</v>
      </c>
    </row>
    <row r="329" spans="1:15" x14ac:dyDescent="0.3">
      <c r="A329" t="s">
        <v>985</v>
      </c>
      <c r="B329" t="s">
        <v>442</v>
      </c>
      <c r="C329" t="s">
        <v>41</v>
      </c>
      <c r="D329" t="s">
        <v>986</v>
      </c>
      <c r="E329" t="s">
        <v>112</v>
      </c>
      <c r="F329" t="s">
        <v>113</v>
      </c>
      <c r="G329" t="s">
        <v>107</v>
      </c>
      <c r="H329" t="s">
        <v>141</v>
      </c>
      <c r="I329" t="str">
        <f>_xlfn.IFNA(VLOOKUP(C329,merchants!$A$2:$D$41,2,FALSE),"Merchant not found")</f>
        <v>Merchant_015</v>
      </c>
      <c r="J329" t="str">
        <f>_xlfn.IFNA(VLOOKUP(C329,merchants!$A$2:$D$41,3,FALSE),"Merchant not found")</f>
        <v>travel</v>
      </c>
      <c r="K329" t="str">
        <f>_xlfn.IFNA(VLOOKUP(C329,merchants!$A$2:$D$41,4,FALSE),"Merchant not found")</f>
        <v>North</v>
      </c>
      <c r="L329">
        <f t="shared" si="15"/>
        <v>46032</v>
      </c>
      <c r="M329">
        <f t="shared" si="16"/>
        <v>0</v>
      </c>
      <c r="N329" t="str">
        <f t="shared" si="17"/>
        <v>Standard</v>
      </c>
      <c r="O329">
        <f>HLOOKUP(F329,fee_lookup!$B$1:$E$2,2,FALSE)</f>
        <v>2E-3</v>
      </c>
    </row>
    <row r="330" spans="1:15" x14ac:dyDescent="0.3">
      <c r="A330" t="s">
        <v>987</v>
      </c>
      <c r="B330" t="s">
        <v>288</v>
      </c>
      <c r="C330" t="s">
        <v>46</v>
      </c>
      <c r="D330" t="s">
        <v>988</v>
      </c>
      <c r="E330" t="s">
        <v>145</v>
      </c>
      <c r="F330" t="s">
        <v>106</v>
      </c>
      <c r="G330" t="s">
        <v>107</v>
      </c>
      <c r="H330" t="s">
        <v>62</v>
      </c>
      <c r="I330" t="str">
        <f>_xlfn.IFNA(VLOOKUP(C330,merchants!$A$2:$D$41,2,FALSE),"Merchant not found")</f>
        <v>Merchant_017</v>
      </c>
      <c r="J330" t="str">
        <f>_xlfn.IFNA(VLOOKUP(C330,merchants!$A$2:$D$41,3,FALSE),"Merchant not found")</f>
        <v>grocery</v>
      </c>
      <c r="K330" t="str">
        <f>_xlfn.IFNA(VLOOKUP(C330,merchants!$A$2:$D$41,4,FALSE),"Merchant not found")</f>
        <v>North</v>
      </c>
      <c r="L330">
        <f t="shared" si="15"/>
        <v>46039</v>
      </c>
      <c r="M330">
        <f t="shared" si="16"/>
        <v>0</v>
      </c>
      <c r="N330" t="str">
        <f t="shared" si="17"/>
        <v>Standard</v>
      </c>
      <c r="O330">
        <f>HLOOKUP(F330,fee_lookup!$B$1:$E$2,2,FALSE)</f>
        <v>0.01</v>
      </c>
    </row>
    <row r="331" spans="1:15" x14ac:dyDescent="0.3">
      <c r="A331" t="s">
        <v>989</v>
      </c>
      <c r="B331" t="s">
        <v>630</v>
      </c>
      <c r="C331" t="s">
        <v>52</v>
      </c>
      <c r="D331" t="s">
        <v>990</v>
      </c>
      <c r="E331" t="s">
        <v>127</v>
      </c>
      <c r="F331" t="s">
        <v>154</v>
      </c>
      <c r="G331" t="s">
        <v>107</v>
      </c>
      <c r="H331" t="s">
        <v>208</v>
      </c>
      <c r="I331" t="str">
        <f>_xlfn.IFNA(VLOOKUP(C331,merchants!$A$2:$D$41,2,FALSE),"Merchant not found")</f>
        <v>Merchant_020</v>
      </c>
      <c r="J331" t="str">
        <f>_xlfn.IFNA(VLOOKUP(C331,merchants!$A$2:$D$41,3,FALSE),"Merchant not found")</f>
        <v>food_delivery</v>
      </c>
      <c r="K331" t="str">
        <f>_xlfn.IFNA(VLOOKUP(C331,merchants!$A$2:$D$41,4,FALSE),"Merchant not found")</f>
        <v>East</v>
      </c>
      <c r="L331">
        <f t="shared" si="15"/>
        <v>46043</v>
      </c>
      <c r="M331">
        <f t="shared" si="16"/>
        <v>0</v>
      </c>
      <c r="N331" t="str">
        <f t="shared" si="17"/>
        <v>Standard</v>
      </c>
      <c r="O331">
        <f>HLOOKUP(F331,fee_lookup!$B$1:$E$2,2,FALSE)</f>
        <v>1.7999999999999999E-2</v>
      </c>
    </row>
    <row r="332" spans="1:15" x14ac:dyDescent="0.3">
      <c r="A332" t="s">
        <v>991</v>
      </c>
      <c r="B332" t="s">
        <v>842</v>
      </c>
      <c r="C332" t="s">
        <v>32</v>
      </c>
      <c r="D332" t="s">
        <v>992</v>
      </c>
      <c r="E332" t="s">
        <v>220</v>
      </c>
      <c r="F332" t="s">
        <v>113</v>
      </c>
      <c r="G332" t="s">
        <v>107</v>
      </c>
      <c r="H332" t="s">
        <v>313</v>
      </c>
      <c r="I332" t="str">
        <f>_xlfn.IFNA(VLOOKUP(C332,merchants!$A$2:$D$41,2,FALSE),"Merchant not found")</f>
        <v>Merchant_011</v>
      </c>
      <c r="J332" t="str">
        <f>_xlfn.IFNA(VLOOKUP(C332,merchants!$A$2:$D$41,3,FALSE),"Merchant not found")</f>
        <v>ecommerce</v>
      </c>
      <c r="K332" t="str">
        <f>_xlfn.IFNA(VLOOKUP(C332,merchants!$A$2:$D$41,4,FALSE),"Merchant not found")</f>
        <v>North</v>
      </c>
      <c r="L332">
        <f t="shared" si="15"/>
        <v>46040</v>
      </c>
      <c r="M332">
        <f t="shared" si="16"/>
        <v>0</v>
      </c>
      <c r="N332" t="str">
        <f t="shared" si="17"/>
        <v>Standard</v>
      </c>
      <c r="O332">
        <f>HLOOKUP(F332,fee_lookup!$B$1:$E$2,2,FALSE)</f>
        <v>2E-3</v>
      </c>
    </row>
    <row r="333" spans="1:15" x14ac:dyDescent="0.3">
      <c r="A333" t="s">
        <v>993</v>
      </c>
      <c r="B333" t="s">
        <v>196</v>
      </c>
      <c r="C333" t="s">
        <v>93</v>
      </c>
      <c r="D333" t="s">
        <v>994</v>
      </c>
      <c r="E333" t="s">
        <v>227</v>
      </c>
      <c r="F333" t="s">
        <v>113</v>
      </c>
      <c r="G333" t="s">
        <v>107</v>
      </c>
      <c r="H333" t="s">
        <v>120</v>
      </c>
      <c r="I333" t="str">
        <f>_xlfn.IFNA(VLOOKUP(C333,merchants!$A$2:$D$41,2,FALSE),"Merchant not found")</f>
        <v>Merchant_040</v>
      </c>
      <c r="J333" t="str">
        <f>_xlfn.IFNA(VLOOKUP(C333,merchants!$A$2:$D$41,3,FALSE),"Merchant not found")</f>
        <v>entertainment</v>
      </c>
      <c r="K333" t="str">
        <f>_xlfn.IFNA(VLOOKUP(C333,merchants!$A$2:$D$41,4,FALSE),"Merchant not found")</f>
        <v>South</v>
      </c>
      <c r="L333">
        <f t="shared" si="15"/>
        <v>46041</v>
      </c>
      <c r="M333">
        <f t="shared" si="16"/>
        <v>0</v>
      </c>
      <c r="N333" t="str">
        <f t="shared" si="17"/>
        <v>Standard</v>
      </c>
      <c r="O333">
        <f>HLOOKUP(F333,fee_lookup!$B$1:$E$2,2,FALSE)</f>
        <v>2E-3</v>
      </c>
    </row>
    <row r="334" spans="1:15" x14ac:dyDescent="0.3">
      <c r="A334" t="s">
        <v>995</v>
      </c>
      <c r="B334" t="s">
        <v>996</v>
      </c>
      <c r="C334" t="s">
        <v>12</v>
      </c>
      <c r="D334" t="s">
        <v>997</v>
      </c>
      <c r="E334" t="s">
        <v>112</v>
      </c>
      <c r="F334" t="s">
        <v>122</v>
      </c>
      <c r="G334" t="s">
        <v>107</v>
      </c>
      <c r="H334" t="s">
        <v>12</v>
      </c>
      <c r="I334" t="str">
        <f>_xlfn.IFNA(VLOOKUP(C334,merchants!$A$2:$D$41,2,FALSE),"Merchant not found")</f>
        <v>Merchant_003</v>
      </c>
      <c r="J334" t="str">
        <f>_xlfn.IFNA(VLOOKUP(C334,merchants!$A$2:$D$41,3,FALSE),"Merchant not found")</f>
        <v>grocery</v>
      </c>
      <c r="K334" t="str">
        <f>_xlfn.IFNA(VLOOKUP(C334,merchants!$A$2:$D$41,4,FALSE),"Merchant not found")</f>
        <v>East</v>
      </c>
      <c r="L334">
        <f t="shared" si="15"/>
        <v>46051</v>
      </c>
      <c r="M334">
        <f t="shared" si="16"/>
        <v>0</v>
      </c>
      <c r="N334" t="str">
        <f t="shared" si="17"/>
        <v>Standard</v>
      </c>
      <c r="O334">
        <f>HLOOKUP(F334,fee_lookup!$B$1:$E$2,2,FALSE)</f>
        <v>1.2E-2</v>
      </c>
    </row>
    <row r="335" spans="1:15" x14ac:dyDescent="0.3">
      <c r="A335" t="s">
        <v>998</v>
      </c>
      <c r="B335" t="s">
        <v>396</v>
      </c>
      <c r="C335" t="s">
        <v>46</v>
      </c>
      <c r="D335" t="s">
        <v>999</v>
      </c>
      <c r="E335" t="s">
        <v>127</v>
      </c>
      <c r="F335" t="s">
        <v>113</v>
      </c>
      <c r="G335" t="s">
        <v>107</v>
      </c>
      <c r="H335" t="s">
        <v>519</v>
      </c>
      <c r="I335" t="str">
        <f>_xlfn.IFNA(VLOOKUP(C335,merchants!$A$2:$D$41,2,FALSE),"Merchant not found")</f>
        <v>Merchant_017</v>
      </c>
      <c r="J335" t="str">
        <f>_xlfn.IFNA(VLOOKUP(C335,merchants!$A$2:$D$41,3,FALSE),"Merchant not found")</f>
        <v>grocery</v>
      </c>
      <c r="K335" t="str">
        <f>_xlfn.IFNA(VLOOKUP(C335,merchants!$A$2:$D$41,4,FALSE),"Merchant not found")</f>
        <v>North</v>
      </c>
      <c r="L335">
        <f t="shared" si="15"/>
        <v>46025</v>
      </c>
      <c r="M335">
        <f t="shared" si="16"/>
        <v>0</v>
      </c>
      <c r="N335" t="str">
        <f t="shared" si="17"/>
        <v>Standard</v>
      </c>
      <c r="O335">
        <f>HLOOKUP(F335,fee_lookup!$B$1:$E$2,2,FALSE)</f>
        <v>2E-3</v>
      </c>
    </row>
    <row r="336" spans="1:15" x14ac:dyDescent="0.3">
      <c r="A336" t="s">
        <v>1000</v>
      </c>
      <c r="B336" t="s">
        <v>823</v>
      </c>
      <c r="C336" t="s">
        <v>8</v>
      </c>
      <c r="D336" t="s">
        <v>1001</v>
      </c>
      <c r="E336" t="s">
        <v>220</v>
      </c>
      <c r="F336" t="s">
        <v>154</v>
      </c>
      <c r="G336" t="s">
        <v>107</v>
      </c>
      <c r="H336" t="s">
        <v>222</v>
      </c>
      <c r="I336" t="str">
        <f>_xlfn.IFNA(VLOOKUP(C336,merchants!$A$2:$D$41,2,FALSE),"Merchant not found")</f>
        <v>Merchant_002</v>
      </c>
      <c r="J336" t="str">
        <f>_xlfn.IFNA(VLOOKUP(C336,merchants!$A$2:$D$41,3,FALSE),"Merchant not found")</f>
        <v>grocery</v>
      </c>
      <c r="K336" t="str">
        <f>_xlfn.IFNA(VLOOKUP(C336,merchants!$A$2:$D$41,4,FALSE),"Merchant not found")</f>
        <v>West</v>
      </c>
      <c r="L336">
        <f t="shared" si="15"/>
        <v>46029</v>
      </c>
      <c r="M336">
        <f t="shared" si="16"/>
        <v>0</v>
      </c>
      <c r="N336" t="str">
        <f t="shared" si="17"/>
        <v>Standard</v>
      </c>
      <c r="O336">
        <f>HLOOKUP(F336,fee_lookup!$B$1:$E$2,2,FALSE)</f>
        <v>1.7999999999999999E-2</v>
      </c>
    </row>
    <row r="337" spans="1:15" x14ac:dyDescent="0.3">
      <c r="A337" t="s">
        <v>1002</v>
      </c>
      <c r="B337" t="s">
        <v>227</v>
      </c>
      <c r="C337" t="s">
        <v>52</v>
      </c>
      <c r="D337" t="s">
        <v>1003</v>
      </c>
      <c r="E337" t="s">
        <v>220</v>
      </c>
      <c r="F337" t="s">
        <v>154</v>
      </c>
      <c r="G337" t="s">
        <v>107</v>
      </c>
      <c r="H337" t="s">
        <v>259</v>
      </c>
      <c r="I337" t="str">
        <f>_xlfn.IFNA(VLOOKUP(C337,merchants!$A$2:$D$41,2,FALSE),"Merchant not found")</f>
        <v>Merchant_020</v>
      </c>
      <c r="J337" t="str">
        <f>_xlfn.IFNA(VLOOKUP(C337,merchants!$A$2:$D$41,3,FALSE),"Merchant not found")</f>
        <v>food_delivery</v>
      </c>
      <c r="K337" t="str">
        <f>_xlfn.IFNA(VLOOKUP(C337,merchants!$A$2:$D$41,4,FALSE),"Merchant not found")</f>
        <v>East</v>
      </c>
      <c r="L337">
        <f t="shared" si="15"/>
        <v>46051</v>
      </c>
      <c r="M337">
        <f t="shared" si="16"/>
        <v>0</v>
      </c>
      <c r="N337" t="str">
        <f t="shared" si="17"/>
        <v>Standard</v>
      </c>
      <c r="O337">
        <f>HLOOKUP(F337,fee_lookup!$B$1:$E$2,2,FALSE)</f>
        <v>1.7999999999999999E-2</v>
      </c>
    </row>
    <row r="338" spans="1:15" x14ac:dyDescent="0.3">
      <c r="A338" t="s">
        <v>1004</v>
      </c>
      <c r="B338" t="s">
        <v>1005</v>
      </c>
      <c r="C338" t="s">
        <v>72</v>
      </c>
      <c r="D338" t="s">
        <v>1006</v>
      </c>
      <c r="E338" t="s">
        <v>145</v>
      </c>
      <c r="F338" t="s">
        <v>113</v>
      </c>
      <c r="G338" t="s">
        <v>107</v>
      </c>
      <c r="H338" t="s">
        <v>28</v>
      </c>
      <c r="I338" t="str">
        <f>_xlfn.IFNA(VLOOKUP(C338,merchants!$A$2:$D$41,2,FALSE),"Merchant not found")</f>
        <v>Merchant_030</v>
      </c>
      <c r="J338" t="str">
        <f>_xlfn.IFNA(VLOOKUP(C338,merchants!$A$2:$D$41,3,FALSE),"Merchant not found")</f>
        <v>travel</v>
      </c>
      <c r="K338" t="str">
        <f>_xlfn.IFNA(VLOOKUP(C338,merchants!$A$2:$D$41,4,FALSE),"Merchant not found")</f>
        <v>West</v>
      </c>
      <c r="L338">
        <f t="shared" si="15"/>
        <v>46030</v>
      </c>
      <c r="M338">
        <f t="shared" si="16"/>
        <v>0</v>
      </c>
      <c r="N338" t="str">
        <f t="shared" si="17"/>
        <v>Standard</v>
      </c>
      <c r="O338">
        <f>HLOOKUP(F338,fee_lookup!$B$1:$E$2,2,FALSE)</f>
        <v>2E-3</v>
      </c>
    </row>
    <row r="339" spans="1:15" x14ac:dyDescent="0.3">
      <c r="A339" t="s">
        <v>1007</v>
      </c>
      <c r="B339" t="s">
        <v>1008</v>
      </c>
      <c r="C339" t="s">
        <v>66</v>
      </c>
      <c r="D339" t="s">
        <v>1009</v>
      </c>
      <c r="E339" t="s">
        <v>105</v>
      </c>
      <c r="F339" t="s">
        <v>113</v>
      </c>
      <c r="G339" t="s">
        <v>198</v>
      </c>
      <c r="H339" t="s">
        <v>259</v>
      </c>
      <c r="I339" t="str">
        <f>_xlfn.IFNA(VLOOKUP(C339,merchants!$A$2:$D$41,2,FALSE),"Merchant not found")</f>
        <v>Merchant_027</v>
      </c>
      <c r="J339" t="str">
        <f>_xlfn.IFNA(VLOOKUP(C339,merchants!$A$2:$D$41,3,FALSE),"Merchant not found")</f>
        <v>ecommerce</v>
      </c>
      <c r="K339" t="str">
        <f>_xlfn.IFNA(VLOOKUP(C339,merchants!$A$2:$D$41,4,FALSE),"Merchant not found")</f>
        <v>North</v>
      </c>
      <c r="L339">
        <f t="shared" si="15"/>
        <v>46045</v>
      </c>
      <c r="M339">
        <f t="shared" si="16"/>
        <v>0</v>
      </c>
      <c r="N339" t="str">
        <f t="shared" si="17"/>
        <v>Standard</v>
      </c>
      <c r="O339">
        <f>HLOOKUP(F339,fee_lookup!$B$1:$E$2,2,FALSE)</f>
        <v>2E-3</v>
      </c>
    </row>
    <row r="340" spans="1:15" x14ac:dyDescent="0.3">
      <c r="A340" t="s">
        <v>1010</v>
      </c>
      <c r="B340" t="s">
        <v>157</v>
      </c>
      <c r="C340" t="s">
        <v>30</v>
      </c>
      <c r="D340" t="s">
        <v>1011</v>
      </c>
      <c r="E340" t="s">
        <v>105</v>
      </c>
      <c r="F340" t="s">
        <v>113</v>
      </c>
      <c r="G340" t="s">
        <v>107</v>
      </c>
      <c r="H340" t="s">
        <v>93</v>
      </c>
      <c r="I340" t="str">
        <f>_xlfn.IFNA(VLOOKUP(C340,merchants!$A$2:$D$41,2,FALSE),"Merchant not found")</f>
        <v>Merchant_010</v>
      </c>
      <c r="J340" t="str">
        <f>_xlfn.IFNA(VLOOKUP(C340,merchants!$A$2:$D$41,3,FALSE),"Merchant not found")</f>
        <v>grocery</v>
      </c>
      <c r="K340" t="str">
        <f>_xlfn.IFNA(VLOOKUP(C340,merchants!$A$2:$D$41,4,FALSE),"Merchant not found")</f>
        <v>West</v>
      </c>
      <c r="L340">
        <f t="shared" si="15"/>
        <v>46037</v>
      </c>
      <c r="M340">
        <f t="shared" si="16"/>
        <v>0</v>
      </c>
      <c r="N340" t="str">
        <f t="shared" si="17"/>
        <v>Standard</v>
      </c>
      <c r="O340">
        <f>HLOOKUP(F340,fee_lookup!$B$1:$E$2,2,FALSE)</f>
        <v>2E-3</v>
      </c>
    </row>
    <row r="341" spans="1:15" x14ac:dyDescent="0.3">
      <c r="A341" t="s">
        <v>1012</v>
      </c>
      <c r="B341" t="s">
        <v>365</v>
      </c>
      <c r="C341" t="s">
        <v>64</v>
      </c>
      <c r="D341" t="s">
        <v>1013</v>
      </c>
      <c r="E341" t="s">
        <v>118</v>
      </c>
      <c r="F341" t="s">
        <v>113</v>
      </c>
      <c r="G341" t="s">
        <v>107</v>
      </c>
      <c r="H341" t="s">
        <v>43</v>
      </c>
      <c r="I341" t="str">
        <f>_xlfn.IFNA(VLOOKUP(C341,merchants!$A$2:$D$41,2,FALSE),"Merchant not found")</f>
        <v>Merchant_026</v>
      </c>
      <c r="J341" t="str">
        <f>_xlfn.IFNA(VLOOKUP(C341,merchants!$A$2:$D$41,3,FALSE),"Merchant not found")</f>
        <v>food_delivery</v>
      </c>
      <c r="K341" t="str">
        <f>_xlfn.IFNA(VLOOKUP(C341,merchants!$A$2:$D$41,4,FALSE),"Merchant not found")</f>
        <v>East</v>
      </c>
      <c r="L341">
        <f t="shared" si="15"/>
        <v>46050</v>
      </c>
      <c r="M341">
        <f t="shared" si="16"/>
        <v>0</v>
      </c>
      <c r="N341" t="str">
        <f t="shared" si="17"/>
        <v>Standard</v>
      </c>
      <c r="O341">
        <f>HLOOKUP(F341,fee_lookup!$B$1:$E$2,2,FALSE)</f>
        <v>2E-3</v>
      </c>
    </row>
    <row r="342" spans="1:15" x14ac:dyDescent="0.3">
      <c r="A342" t="s">
        <v>1014</v>
      </c>
      <c r="B342" t="s">
        <v>602</v>
      </c>
      <c r="C342" t="s">
        <v>23</v>
      </c>
      <c r="D342" t="s">
        <v>1015</v>
      </c>
      <c r="E342" t="s">
        <v>127</v>
      </c>
      <c r="F342" t="s">
        <v>122</v>
      </c>
      <c r="G342" t="s">
        <v>107</v>
      </c>
      <c r="H342" t="s">
        <v>93</v>
      </c>
      <c r="I342" t="str">
        <f>_xlfn.IFNA(VLOOKUP(C342,merchants!$A$2:$D$41,2,FALSE),"Merchant not found")</f>
        <v>Merchant_007</v>
      </c>
      <c r="J342" t="str">
        <f>_xlfn.IFNA(VLOOKUP(C342,merchants!$A$2:$D$41,3,FALSE),"Merchant not found")</f>
        <v>food_delivery</v>
      </c>
      <c r="K342" t="str">
        <f>_xlfn.IFNA(VLOOKUP(C342,merchants!$A$2:$D$41,4,FALSE),"Merchant not found")</f>
        <v>East</v>
      </c>
      <c r="L342">
        <f t="shared" si="15"/>
        <v>46047</v>
      </c>
      <c r="M342">
        <f t="shared" si="16"/>
        <v>0</v>
      </c>
      <c r="N342" t="str">
        <f t="shared" si="17"/>
        <v>Standard</v>
      </c>
      <c r="O342">
        <f>HLOOKUP(F342,fee_lookup!$B$1:$E$2,2,FALSE)</f>
        <v>1.2E-2</v>
      </c>
    </row>
    <row r="343" spans="1:15" x14ac:dyDescent="0.3">
      <c r="A343" t="s">
        <v>1016</v>
      </c>
      <c r="B343" t="s">
        <v>429</v>
      </c>
      <c r="C343" t="s">
        <v>70</v>
      </c>
      <c r="D343" t="s">
        <v>1017</v>
      </c>
      <c r="E343" t="s">
        <v>105</v>
      </c>
      <c r="F343" t="s">
        <v>113</v>
      </c>
      <c r="G343" t="s">
        <v>155</v>
      </c>
      <c r="H343" t="s">
        <v>74</v>
      </c>
      <c r="I343" t="str">
        <f>_xlfn.IFNA(VLOOKUP(C343,merchants!$A$2:$D$41,2,FALSE),"Merchant not found")</f>
        <v>Merchant_029</v>
      </c>
      <c r="J343" t="str">
        <f>_xlfn.IFNA(VLOOKUP(C343,merchants!$A$2:$D$41,3,FALSE),"Merchant not found")</f>
        <v>ecommerce</v>
      </c>
      <c r="K343" t="str">
        <f>_xlfn.IFNA(VLOOKUP(C343,merchants!$A$2:$D$41,4,FALSE),"Merchant not found")</f>
        <v>North</v>
      </c>
      <c r="L343">
        <f t="shared" si="15"/>
        <v>46030</v>
      </c>
      <c r="M343">
        <f t="shared" si="16"/>
        <v>0</v>
      </c>
      <c r="N343" t="str">
        <f t="shared" si="17"/>
        <v>Standard</v>
      </c>
      <c r="O343">
        <f>HLOOKUP(F343,fee_lookup!$B$1:$E$2,2,FALSE)</f>
        <v>2E-3</v>
      </c>
    </row>
    <row r="344" spans="1:15" x14ac:dyDescent="0.3">
      <c r="A344" t="s">
        <v>1018</v>
      </c>
      <c r="B344" t="s">
        <v>227</v>
      </c>
      <c r="C344" t="s">
        <v>62</v>
      </c>
      <c r="D344" t="s">
        <v>1019</v>
      </c>
      <c r="E344" t="s">
        <v>118</v>
      </c>
      <c r="F344" t="s">
        <v>113</v>
      </c>
      <c r="G344" t="s">
        <v>107</v>
      </c>
      <c r="H344" t="s">
        <v>208</v>
      </c>
      <c r="I344" t="str">
        <f>_xlfn.IFNA(VLOOKUP(C344,merchants!$A$2:$D$41,2,FALSE),"Merchant not found")</f>
        <v>Merchant_025</v>
      </c>
      <c r="J344" t="str">
        <f>_xlfn.IFNA(VLOOKUP(C344,merchants!$A$2:$D$41,3,FALSE),"Merchant not found")</f>
        <v>travel</v>
      </c>
      <c r="K344" t="str">
        <f>_xlfn.IFNA(VLOOKUP(C344,merchants!$A$2:$D$41,4,FALSE),"Merchant not found")</f>
        <v>South</v>
      </c>
      <c r="L344">
        <f t="shared" si="15"/>
        <v>46027</v>
      </c>
      <c r="M344">
        <f t="shared" si="16"/>
        <v>0</v>
      </c>
      <c r="N344" t="str">
        <f t="shared" si="17"/>
        <v>Standard</v>
      </c>
      <c r="O344">
        <f>HLOOKUP(F344,fee_lookup!$B$1:$E$2,2,FALSE)</f>
        <v>2E-3</v>
      </c>
    </row>
    <row r="345" spans="1:15" x14ac:dyDescent="0.3">
      <c r="A345" t="s">
        <v>1020</v>
      </c>
      <c r="B345" t="s">
        <v>281</v>
      </c>
      <c r="C345" t="s">
        <v>54</v>
      </c>
      <c r="D345" t="s">
        <v>1021</v>
      </c>
      <c r="E345" t="s">
        <v>112</v>
      </c>
      <c r="F345" t="s">
        <v>106</v>
      </c>
      <c r="G345" t="s">
        <v>107</v>
      </c>
      <c r="H345" t="s">
        <v>508</v>
      </c>
      <c r="I345" t="str">
        <f>_xlfn.IFNA(VLOOKUP(C345,merchants!$A$2:$D$41,2,FALSE),"Merchant not found")</f>
        <v>Merchant_021</v>
      </c>
      <c r="J345" t="str">
        <f>_xlfn.IFNA(VLOOKUP(C345,merchants!$A$2:$D$41,3,FALSE),"Merchant not found")</f>
        <v>food_delivery</v>
      </c>
      <c r="K345" t="str">
        <f>_xlfn.IFNA(VLOOKUP(C345,merchants!$A$2:$D$41,4,FALSE),"Merchant not found")</f>
        <v>East</v>
      </c>
      <c r="L345">
        <f t="shared" si="15"/>
        <v>46036</v>
      </c>
      <c r="M345">
        <f t="shared" si="16"/>
        <v>0</v>
      </c>
      <c r="N345" t="str">
        <f t="shared" si="17"/>
        <v>Standard</v>
      </c>
      <c r="O345">
        <f>HLOOKUP(F345,fee_lookup!$B$1:$E$2,2,FALSE)</f>
        <v>0.01</v>
      </c>
    </row>
    <row r="346" spans="1:15" x14ac:dyDescent="0.3">
      <c r="A346" t="s">
        <v>1022</v>
      </c>
      <c r="B346" t="s">
        <v>281</v>
      </c>
      <c r="C346" t="s">
        <v>76</v>
      </c>
      <c r="D346" t="s">
        <v>1023</v>
      </c>
      <c r="E346" t="s">
        <v>112</v>
      </c>
      <c r="F346" t="s">
        <v>113</v>
      </c>
      <c r="G346" t="s">
        <v>107</v>
      </c>
      <c r="H346" t="s">
        <v>630</v>
      </c>
      <c r="I346" t="str">
        <f>_xlfn.IFNA(VLOOKUP(C346,merchants!$A$2:$D$41,2,FALSE),"Merchant not found")</f>
        <v>Merchant_032</v>
      </c>
      <c r="J346" t="str">
        <f>_xlfn.IFNA(VLOOKUP(C346,merchants!$A$2:$D$41,3,FALSE),"Merchant not found")</f>
        <v>food_delivery</v>
      </c>
      <c r="K346" t="str">
        <f>_xlfn.IFNA(VLOOKUP(C346,merchants!$A$2:$D$41,4,FALSE),"Merchant not found")</f>
        <v>West</v>
      </c>
      <c r="L346">
        <f t="shared" si="15"/>
        <v>46046</v>
      </c>
      <c r="M346">
        <f t="shared" si="16"/>
        <v>0</v>
      </c>
      <c r="N346" t="str">
        <f t="shared" si="17"/>
        <v>Standard</v>
      </c>
      <c r="O346">
        <f>HLOOKUP(F346,fee_lookup!$B$1:$E$2,2,FALSE)</f>
        <v>2E-3</v>
      </c>
    </row>
    <row r="347" spans="1:15" x14ac:dyDescent="0.3">
      <c r="A347" t="s">
        <v>1024</v>
      </c>
      <c r="B347" t="s">
        <v>432</v>
      </c>
      <c r="C347" t="s">
        <v>76</v>
      </c>
      <c r="D347" t="s">
        <v>1025</v>
      </c>
      <c r="E347" t="s">
        <v>127</v>
      </c>
      <c r="F347" t="s">
        <v>106</v>
      </c>
      <c r="G347" t="s">
        <v>107</v>
      </c>
      <c r="H347" t="s">
        <v>8</v>
      </c>
      <c r="I347" t="str">
        <f>_xlfn.IFNA(VLOOKUP(C347,merchants!$A$2:$D$41,2,FALSE),"Merchant not found")</f>
        <v>Merchant_032</v>
      </c>
      <c r="J347" t="str">
        <f>_xlfn.IFNA(VLOOKUP(C347,merchants!$A$2:$D$41,3,FALSE),"Merchant not found")</f>
        <v>food_delivery</v>
      </c>
      <c r="K347" t="str">
        <f>_xlfn.IFNA(VLOOKUP(C347,merchants!$A$2:$D$41,4,FALSE),"Merchant not found")</f>
        <v>West</v>
      </c>
      <c r="L347">
        <f t="shared" si="15"/>
        <v>46037</v>
      </c>
      <c r="M347">
        <f t="shared" si="16"/>
        <v>0</v>
      </c>
      <c r="N347" t="str">
        <f t="shared" si="17"/>
        <v>Standard</v>
      </c>
      <c r="O347">
        <f>HLOOKUP(F347,fee_lookup!$B$1:$E$2,2,FALSE)</f>
        <v>0.01</v>
      </c>
    </row>
    <row r="348" spans="1:15" x14ac:dyDescent="0.3">
      <c r="A348" t="s">
        <v>1026</v>
      </c>
      <c r="B348" t="s">
        <v>901</v>
      </c>
      <c r="C348" t="s">
        <v>43</v>
      </c>
      <c r="D348" t="s">
        <v>1027</v>
      </c>
      <c r="E348" t="s">
        <v>127</v>
      </c>
      <c r="F348" t="s">
        <v>113</v>
      </c>
      <c r="G348" t="s">
        <v>107</v>
      </c>
      <c r="H348" t="s">
        <v>66</v>
      </c>
      <c r="I348" t="str">
        <f>_xlfn.IFNA(VLOOKUP(C348,merchants!$A$2:$D$41,2,FALSE),"Merchant not found")</f>
        <v>Merchant_016</v>
      </c>
      <c r="J348" t="str">
        <f>_xlfn.IFNA(VLOOKUP(C348,merchants!$A$2:$D$41,3,FALSE),"Merchant not found")</f>
        <v>bill_payment</v>
      </c>
      <c r="K348" t="str">
        <f>_xlfn.IFNA(VLOOKUP(C348,merchants!$A$2:$D$41,4,FALSE),"Merchant not found")</f>
        <v>West</v>
      </c>
      <c r="L348">
        <f t="shared" si="15"/>
        <v>46025</v>
      </c>
      <c r="M348">
        <f t="shared" si="16"/>
        <v>0</v>
      </c>
      <c r="N348" t="str">
        <f t="shared" si="17"/>
        <v>Standard</v>
      </c>
      <c r="O348">
        <f>HLOOKUP(F348,fee_lookup!$B$1:$E$2,2,FALSE)</f>
        <v>2E-3</v>
      </c>
    </row>
    <row r="349" spans="1:15" x14ac:dyDescent="0.3">
      <c r="A349" t="s">
        <v>1028</v>
      </c>
      <c r="B349" t="s">
        <v>64</v>
      </c>
      <c r="C349" t="s">
        <v>50</v>
      </c>
      <c r="D349" t="s">
        <v>1029</v>
      </c>
      <c r="E349" t="s">
        <v>127</v>
      </c>
      <c r="F349" t="s">
        <v>106</v>
      </c>
      <c r="G349" t="s">
        <v>107</v>
      </c>
      <c r="H349" t="s">
        <v>222</v>
      </c>
      <c r="I349" t="str">
        <f>_xlfn.IFNA(VLOOKUP(C349,merchants!$A$2:$D$41,2,FALSE),"Merchant not found")</f>
        <v>Merchant_019</v>
      </c>
      <c r="J349" t="str">
        <f>_xlfn.IFNA(VLOOKUP(C349,merchants!$A$2:$D$41,3,FALSE),"Merchant not found")</f>
        <v>grocery</v>
      </c>
      <c r="K349" t="str">
        <f>_xlfn.IFNA(VLOOKUP(C349,merchants!$A$2:$D$41,4,FALSE),"Merchant not found")</f>
        <v>North</v>
      </c>
      <c r="L349">
        <f t="shared" si="15"/>
        <v>46041</v>
      </c>
      <c r="M349">
        <f t="shared" si="16"/>
        <v>0</v>
      </c>
      <c r="N349" t="str">
        <f t="shared" si="17"/>
        <v>Standard</v>
      </c>
      <c r="O349">
        <f>HLOOKUP(F349,fee_lookup!$B$1:$E$2,2,FALSE)</f>
        <v>0.01</v>
      </c>
    </row>
    <row r="350" spans="1:15" x14ac:dyDescent="0.3">
      <c r="A350" t="s">
        <v>1030</v>
      </c>
      <c r="B350" t="s">
        <v>417</v>
      </c>
      <c r="C350" t="s">
        <v>50</v>
      </c>
      <c r="D350" t="s">
        <v>1031</v>
      </c>
      <c r="E350" t="s">
        <v>145</v>
      </c>
      <c r="F350" t="s">
        <v>113</v>
      </c>
      <c r="G350" t="s">
        <v>107</v>
      </c>
      <c r="H350" t="s">
        <v>263</v>
      </c>
      <c r="I350" t="str">
        <f>_xlfn.IFNA(VLOOKUP(C350,merchants!$A$2:$D$41,2,FALSE),"Merchant not found")</f>
        <v>Merchant_019</v>
      </c>
      <c r="J350" t="str">
        <f>_xlfn.IFNA(VLOOKUP(C350,merchants!$A$2:$D$41,3,FALSE),"Merchant not found")</f>
        <v>grocery</v>
      </c>
      <c r="K350" t="str">
        <f>_xlfn.IFNA(VLOOKUP(C350,merchants!$A$2:$D$41,4,FALSE),"Merchant not found")</f>
        <v>North</v>
      </c>
      <c r="L350">
        <f t="shared" si="15"/>
        <v>46042</v>
      </c>
      <c r="M350">
        <f t="shared" si="16"/>
        <v>0</v>
      </c>
      <c r="N350" t="str">
        <f t="shared" si="17"/>
        <v>Standard</v>
      </c>
      <c r="O350">
        <f>HLOOKUP(F350,fee_lookup!$B$1:$E$2,2,FALSE)</f>
        <v>2E-3</v>
      </c>
    </row>
    <row r="351" spans="1:15" x14ac:dyDescent="0.3">
      <c r="A351" t="s">
        <v>1032</v>
      </c>
      <c r="B351" t="s">
        <v>527</v>
      </c>
      <c r="C351" t="s">
        <v>46</v>
      </c>
      <c r="D351" t="s">
        <v>1033</v>
      </c>
      <c r="E351" t="s">
        <v>118</v>
      </c>
      <c r="F351" t="s">
        <v>113</v>
      </c>
      <c r="G351" t="s">
        <v>107</v>
      </c>
      <c r="H351" t="s">
        <v>756</v>
      </c>
      <c r="I351" t="str">
        <f>_xlfn.IFNA(VLOOKUP(C351,merchants!$A$2:$D$41,2,FALSE),"Merchant not found")</f>
        <v>Merchant_017</v>
      </c>
      <c r="J351" t="str">
        <f>_xlfn.IFNA(VLOOKUP(C351,merchants!$A$2:$D$41,3,FALSE),"Merchant not found")</f>
        <v>grocery</v>
      </c>
      <c r="K351" t="str">
        <f>_xlfn.IFNA(VLOOKUP(C351,merchants!$A$2:$D$41,4,FALSE),"Merchant not found")</f>
        <v>North</v>
      </c>
      <c r="L351">
        <f t="shared" si="15"/>
        <v>46023</v>
      </c>
      <c r="M351">
        <f t="shared" si="16"/>
        <v>0</v>
      </c>
      <c r="N351" t="str">
        <f t="shared" si="17"/>
        <v>Standard</v>
      </c>
      <c r="O351">
        <f>HLOOKUP(F351,fee_lookup!$B$1:$E$2,2,FALSE)</f>
        <v>2E-3</v>
      </c>
    </row>
    <row r="352" spans="1:15" x14ac:dyDescent="0.3">
      <c r="A352" t="s">
        <v>1034</v>
      </c>
      <c r="B352" t="s">
        <v>60</v>
      </c>
      <c r="C352" t="s">
        <v>64</v>
      </c>
      <c r="D352" t="s">
        <v>1035</v>
      </c>
      <c r="E352" t="s">
        <v>145</v>
      </c>
      <c r="F352" t="s">
        <v>122</v>
      </c>
      <c r="G352" t="s">
        <v>107</v>
      </c>
      <c r="H352" t="s">
        <v>20</v>
      </c>
      <c r="I352" t="str">
        <f>_xlfn.IFNA(VLOOKUP(C352,merchants!$A$2:$D$41,2,FALSE),"Merchant not found")</f>
        <v>Merchant_026</v>
      </c>
      <c r="J352" t="str">
        <f>_xlfn.IFNA(VLOOKUP(C352,merchants!$A$2:$D$41,3,FALSE),"Merchant not found")</f>
        <v>food_delivery</v>
      </c>
      <c r="K352" t="str">
        <f>_xlfn.IFNA(VLOOKUP(C352,merchants!$A$2:$D$41,4,FALSE),"Merchant not found")</f>
        <v>East</v>
      </c>
      <c r="L352">
        <f t="shared" si="15"/>
        <v>46034</v>
      </c>
      <c r="M352">
        <f t="shared" si="16"/>
        <v>0</v>
      </c>
      <c r="N352" t="str">
        <f t="shared" si="17"/>
        <v>Standard</v>
      </c>
      <c r="O352">
        <f>HLOOKUP(F352,fee_lookup!$B$1:$E$2,2,FALSE)</f>
        <v>1.2E-2</v>
      </c>
    </row>
    <row r="353" spans="1:15" x14ac:dyDescent="0.3">
      <c r="A353" t="s">
        <v>1036</v>
      </c>
      <c r="B353" t="s">
        <v>619</v>
      </c>
      <c r="C353" t="s">
        <v>84</v>
      </c>
      <c r="D353" t="s">
        <v>1037</v>
      </c>
      <c r="E353" t="s">
        <v>274</v>
      </c>
      <c r="F353" t="s">
        <v>113</v>
      </c>
      <c r="G353" t="s">
        <v>107</v>
      </c>
      <c r="H353" t="s">
        <v>84</v>
      </c>
      <c r="I353" t="str">
        <f>_xlfn.IFNA(VLOOKUP(C353,merchants!$A$2:$D$41,2,FALSE),"Merchant not found")</f>
        <v>Merchant_036</v>
      </c>
      <c r="J353" t="str">
        <f>_xlfn.IFNA(VLOOKUP(C353,merchants!$A$2:$D$41,3,FALSE),"Merchant not found")</f>
        <v>entertainment</v>
      </c>
      <c r="K353" t="str">
        <f>_xlfn.IFNA(VLOOKUP(C353,merchants!$A$2:$D$41,4,FALSE),"Merchant not found")</f>
        <v>East</v>
      </c>
      <c r="L353">
        <f t="shared" si="15"/>
        <v>46041</v>
      </c>
      <c r="M353">
        <f t="shared" si="16"/>
        <v>0</v>
      </c>
      <c r="N353" t="str">
        <f t="shared" si="17"/>
        <v>Standard</v>
      </c>
      <c r="O353">
        <f>HLOOKUP(F353,fee_lookup!$B$1:$E$2,2,FALSE)</f>
        <v>2E-3</v>
      </c>
    </row>
    <row r="354" spans="1:15" x14ac:dyDescent="0.3">
      <c r="A354" t="s">
        <v>1038</v>
      </c>
      <c r="B354" t="s">
        <v>337</v>
      </c>
      <c r="C354" t="s">
        <v>84</v>
      </c>
      <c r="D354" t="s">
        <v>1027</v>
      </c>
      <c r="E354" t="s">
        <v>227</v>
      </c>
      <c r="F354" t="s">
        <v>113</v>
      </c>
      <c r="G354" t="s">
        <v>107</v>
      </c>
      <c r="H354" t="s">
        <v>82</v>
      </c>
      <c r="I354" t="str">
        <f>_xlfn.IFNA(VLOOKUP(C354,merchants!$A$2:$D$41,2,FALSE),"Merchant not found")</f>
        <v>Merchant_036</v>
      </c>
      <c r="J354" t="str">
        <f>_xlfn.IFNA(VLOOKUP(C354,merchants!$A$2:$D$41,3,FALSE),"Merchant not found")</f>
        <v>entertainment</v>
      </c>
      <c r="K354" t="str">
        <f>_xlfn.IFNA(VLOOKUP(C354,merchants!$A$2:$D$41,4,FALSE),"Merchant not found")</f>
        <v>East</v>
      </c>
      <c r="L354">
        <f t="shared" si="15"/>
        <v>46025</v>
      </c>
      <c r="M354">
        <f t="shared" si="16"/>
        <v>0</v>
      </c>
      <c r="N354" t="str">
        <f t="shared" si="17"/>
        <v>Standard</v>
      </c>
      <c r="O354">
        <f>HLOOKUP(F354,fee_lookup!$B$1:$E$2,2,FALSE)</f>
        <v>2E-3</v>
      </c>
    </row>
    <row r="355" spans="1:15" x14ac:dyDescent="0.3">
      <c r="A355" t="s">
        <v>1039</v>
      </c>
      <c r="B355" t="s">
        <v>830</v>
      </c>
      <c r="C355" t="s">
        <v>25</v>
      </c>
      <c r="D355" t="s">
        <v>1040</v>
      </c>
      <c r="E355" t="s">
        <v>118</v>
      </c>
      <c r="F355" t="s">
        <v>122</v>
      </c>
      <c r="G355" t="s">
        <v>107</v>
      </c>
      <c r="H355" t="s">
        <v>43</v>
      </c>
      <c r="I355" t="str">
        <f>_xlfn.IFNA(VLOOKUP(C355,merchants!$A$2:$D$41,2,FALSE),"Merchant not found")</f>
        <v>Merchant_008</v>
      </c>
      <c r="J355" t="str">
        <f>_xlfn.IFNA(VLOOKUP(C355,merchants!$A$2:$D$41,3,FALSE),"Merchant not found")</f>
        <v>food_delivery</v>
      </c>
      <c r="K355" t="str">
        <f>_xlfn.IFNA(VLOOKUP(C355,merchants!$A$2:$D$41,4,FALSE),"Merchant not found")</f>
        <v>North</v>
      </c>
      <c r="L355">
        <f t="shared" si="15"/>
        <v>46049</v>
      </c>
      <c r="M355">
        <f t="shared" si="16"/>
        <v>0</v>
      </c>
      <c r="N355" t="str">
        <f t="shared" si="17"/>
        <v>Standard</v>
      </c>
      <c r="O355">
        <f>HLOOKUP(F355,fee_lookup!$B$1:$E$2,2,FALSE)</f>
        <v>1.2E-2</v>
      </c>
    </row>
    <row r="356" spans="1:15" x14ac:dyDescent="0.3">
      <c r="A356" t="s">
        <v>1041</v>
      </c>
      <c r="B356" t="s">
        <v>587</v>
      </c>
      <c r="C356" t="s">
        <v>84</v>
      </c>
      <c r="D356" t="s">
        <v>1042</v>
      </c>
      <c r="E356" t="s">
        <v>227</v>
      </c>
      <c r="F356" t="s">
        <v>113</v>
      </c>
      <c r="G356" t="s">
        <v>107</v>
      </c>
      <c r="H356" t="s">
        <v>166</v>
      </c>
      <c r="I356" t="str">
        <f>_xlfn.IFNA(VLOOKUP(C356,merchants!$A$2:$D$41,2,FALSE),"Merchant not found")</f>
        <v>Merchant_036</v>
      </c>
      <c r="J356" t="str">
        <f>_xlfn.IFNA(VLOOKUP(C356,merchants!$A$2:$D$41,3,FALSE),"Merchant not found")</f>
        <v>entertainment</v>
      </c>
      <c r="K356" t="str">
        <f>_xlfn.IFNA(VLOOKUP(C356,merchants!$A$2:$D$41,4,FALSE),"Merchant not found")</f>
        <v>East</v>
      </c>
      <c r="L356">
        <f t="shared" si="15"/>
        <v>46026</v>
      </c>
      <c r="M356">
        <f t="shared" si="16"/>
        <v>0</v>
      </c>
      <c r="N356" t="str">
        <f t="shared" si="17"/>
        <v>Standard</v>
      </c>
      <c r="O356">
        <f>HLOOKUP(F356,fee_lookup!$B$1:$E$2,2,FALSE)</f>
        <v>2E-3</v>
      </c>
    </row>
    <row r="357" spans="1:15" x14ac:dyDescent="0.3">
      <c r="A357" t="s">
        <v>1043</v>
      </c>
      <c r="B357" t="s">
        <v>265</v>
      </c>
      <c r="C357" t="s">
        <v>78</v>
      </c>
      <c r="D357" t="s">
        <v>1044</v>
      </c>
      <c r="E357" t="s">
        <v>127</v>
      </c>
      <c r="F357" t="s">
        <v>113</v>
      </c>
      <c r="G357" t="s">
        <v>107</v>
      </c>
      <c r="H357" t="s">
        <v>137</v>
      </c>
      <c r="I357" t="str">
        <f>_xlfn.IFNA(VLOOKUP(C357,merchants!$A$2:$D$41,2,FALSE),"Merchant not found")</f>
        <v>Merchant_033</v>
      </c>
      <c r="J357" t="str">
        <f>_xlfn.IFNA(VLOOKUP(C357,merchants!$A$2:$D$41,3,FALSE),"Merchant not found")</f>
        <v>bill_payment</v>
      </c>
      <c r="K357" t="str">
        <f>_xlfn.IFNA(VLOOKUP(C357,merchants!$A$2:$D$41,4,FALSE),"Merchant not found")</f>
        <v>East</v>
      </c>
      <c r="L357">
        <f t="shared" si="15"/>
        <v>46047</v>
      </c>
      <c r="M357">
        <f t="shared" si="16"/>
        <v>0</v>
      </c>
      <c r="N357" t="str">
        <f t="shared" si="17"/>
        <v>Standard</v>
      </c>
      <c r="O357">
        <f>HLOOKUP(F357,fee_lookup!$B$1:$E$2,2,FALSE)</f>
        <v>2E-3</v>
      </c>
    </row>
    <row r="358" spans="1:15" x14ac:dyDescent="0.3">
      <c r="A358" t="s">
        <v>1045</v>
      </c>
      <c r="B358" t="s">
        <v>52</v>
      </c>
      <c r="C358" t="s">
        <v>28</v>
      </c>
      <c r="D358" t="s">
        <v>1046</v>
      </c>
      <c r="E358" t="s">
        <v>127</v>
      </c>
      <c r="F358" t="s">
        <v>113</v>
      </c>
      <c r="G358" t="s">
        <v>107</v>
      </c>
      <c r="H358" t="s">
        <v>762</v>
      </c>
      <c r="I358" t="str">
        <f>_xlfn.IFNA(VLOOKUP(C358,merchants!$A$2:$D$41,2,FALSE),"Merchant not found")</f>
        <v>Merchant_009</v>
      </c>
      <c r="J358" t="str">
        <f>_xlfn.IFNA(VLOOKUP(C358,merchants!$A$2:$D$41,3,FALSE),"Merchant not found")</f>
        <v>ecommerce</v>
      </c>
      <c r="K358" t="str">
        <f>_xlfn.IFNA(VLOOKUP(C358,merchants!$A$2:$D$41,4,FALSE),"Merchant not found")</f>
        <v>North</v>
      </c>
      <c r="L358">
        <f t="shared" si="15"/>
        <v>46039</v>
      </c>
      <c r="M358">
        <f t="shared" si="16"/>
        <v>0</v>
      </c>
      <c r="N358" t="str">
        <f t="shared" si="17"/>
        <v>Standard</v>
      </c>
      <c r="O358">
        <f>HLOOKUP(F358,fee_lookup!$B$1:$E$2,2,FALSE)</f>
        <v>2E-3</v>
      </c>
    </row>
    <row r="359" spans="1:15" x14ac:dyDescent="0.3">
      <c r="A359" t="s">
        <v>1047</v>
      </c>
      <c r="B359" t="s">
        <v>1048</v>
      </c>
      <c r="C359" t="s">
        <v>30</v>
      </c>
      <c r="D359" t="s">
        <v>1049</v>
      </c>
      <c r="E359" t="s">
        <v>112</v>
      </c>
      <c r="F359" t="s">
        <v>113</v>
      </c>
      <c r="G359" t="s">
        <v>107</v>
      </c>
      <c r="H359" t="s">
        <v>567</v>
      </c>
      <c r="I359" t="str">
        <f>_xlfn.IFNA(VLOOKUP(C359,merchants!$A$2:$D$41,2,FALSE),"Merchant not found")</f>
        <v>Merchant_010</v>
      </c>
      <c r="J359" t="str">
        <f>_xlfn.IFNA(VLOOKUP(C359,merchants!$A$2:$D$41,3,FALSE),"Merchant not found")</f>
        <v>grocery</v>
      </c>
      <c r="K359" t="str">
        <f>_xlfn.IFNA(VLOOKUP(C359,merchants!$A$2:$D$41,4,FALSE),"Merchant not found")</f>
        <v>West</v>
      </c>
      <c r="L359">
        <f t="shared" si="15"/>
        <v>46033</v>
      </c>
      <c r="M359">
        <f t="shared" si="16"/>
        <v>0</v>
      </c>
      <c r="N359" t="str">
        <f t="shared" si="17"/>
        <v>Standard</v>
      </c>
      <c r="O359">
        <f>HLOOKUP(F359,fee_lookup!$B$1:$E$2,2,FALSE)</f>
        <v>2E-3</v>
      </c>
    </row>
    <row r="360" spans="1:15" x14ac:dyDescent="0.3">
      <c r="A360" t="s">
        <v>1050</v>
      </c>
      <c r="B360" t="s">
        <v>1051</v>
      </c>
      <c r="C360" t="s">
        <v>93</v>
      </c>
      <c r="D360" t="s">
        <v>1052</v>
      </c>
      <c r="E360" t="s">
        <v>227</v>
      </c>
      <c r="F360" t="s">
        <v>113</v>
      </c>
      <c r="G360" t="s">
        <v>198</v>
      </c>
      <c r="H360" t="s">
        <v>93</v>
      </c>
      <c r="I360" t="str">
        <f>_xlfn.IFNA(VLOOKUP(C360,merchants!$A$2:$D$41,2,FALSE),"Merchant not found")</f>
        <v>Merchant_040</v>
      </c>
      <c r="J360" t="str">
        <f>_xlfn.IFNA(VLOOKUP(C360,merchants!$A$2:$D$41,3,FALSE),"Merchant not found")</f>
        <v>entertainment</v>
      </c>
      <c r="K360" t="str">
        <f>_xlfn.IFNA(VLOOKUP(C360,merchants!$A$2:$D$41,4,FALSE),"Merchant not found")</f>
        <v>South</v>
      </c>
      <c r="L360">
        <f t="shared" si="15"/>
        <v>46051</v>
      </c>
      <c r="M360">
        <f t="shared" si="16"/>
        <v>0</v>
      </c>
      <c r="N360" t="str">
        <f t="shared" si="17"/>
        <v>Standard</v>
      </c>
      <c r="O360">
        <f>HLOOKUP(F360,fee_lookup!$B$1:$E$2,2,FALSE)</f>
        <v>2E-3</v>
      </c>
    </row>
    <row r="361" spans="1:15" x14ac:dyDescent="0.3">
      <c r="A361" t="s">
        <v>1053</v>
      </c>
      <c r="B361" t="s">
        <v>171</v>
      </c>
      <c r="C361" t="s">
        <v>89</v>
      </c>
      <c r="D361" t="s">
        <v>1054</v>
      </c>
      <c r="E361" t="s">
        <v>127</v>
      </c>
      <c r="F361" t="s">
        <v>122</v>
      </c>
      <c r="G361" t="s">
        <v>107</v>
      </c>
      <c r="H361" t="s">
        <v>341</v>
      </c>
      <c r="I361" t="str">
        <f>_xlfn.IFNA(VLOOKUP(C361,merchants!$A$2:$D$41,2,FALSE),"Merchant not found")</f>
        <v>Merchant_038</v>
      </c>
      <c r="J361" t="str">
        <f>_xlfn.IFNA(VLOOKUP(C361,merchants!$A$2:$D$41,3,FALSE),"Merchant not found")</f>
        <v>grocery</v>
      </c>
      <c r="K361" t="str">
        <f>_xlfn.IFNA(VLOOKUP(C361,merchants!$A$2:$D$41,4,FALSE),"Merchant not found")</f>
        <v>East</v>
      </c>
      <c r="L361">
        <f t="shared" si="15"/>
        <v>46028</v>
      </c>
      <c r="M361">
        <f t="shared" si="16"/>
        <v>0</v>
      </c>
      <c r="N361" t="str">
        <f t="shared" si="17"/>
        <v>Standard</v>
      </c>
      <c r="O361">
        <f>HLOOKUP(F361,fee_lookup!$B$1:$E$2,2,FALSE)</f>
        <v>1.2E-2</v>
      </c>
    </row>
    <row r="362" spans="1:15" x14ac:dyDescent="0.3">
      <c r="A362" t="s">
        <v>1055</v>
      </c>
      <c r="B362" t="s">
        <v>1056</v>
      </c>
      <c r="C362" t="s">
        <v>87</v>
      </c>
      <c r="D362" t="s">
        <v>1057</v>
      </c>
      <c r="E362" t="s">
        <v>112</v>
      </c>
      <c r="F362" t="s">
        <v>113</v>
      </c>
      <c r="G362" t="s">
        <v>107</v>
      </c>
      <c r="H362" t="s">
        <v>89</v>
      </c>
      <c r="I362" t="str">
        <f>_xlfn.IFNA(VLOOKUP(C362,merchants!$A$2:$D$41,2,FALSE),"Merchant not found")</f>
        <v>Merchant_037</v>
      </c>
      <c r="J362" t="str">
        <f>_xlfn.IFNA(VLOOKUP(C362,merchants!$A$2:$D$41,3,FALSE),"Merchant not found")</f>
        <v>entertainment</v>
      </c>
      <c r="K362" t="str">
        <f>_xlfn.IFNA(VLOOKUP(C362,merchants!$A$2:$D$41,4,FALSE),"Merchant not found")</f>
        <v>South</v>
      </c>
      <c r="L362">
        <f t="shared" si="15"/>
        <v>46039</v>
      </c>
      <c r="M362">
        <f t="shared" si="16"/>
        <v>0</v>
      </c>
      <c r="N362" t="str">
        <f t="shared" si="17"/>
        <v>Standard</v>
      </c>
      <c r="O362">
        <f>HLOOKUP(F362,fee_lookup!$B$1:$E$2,2,FALSE)</f>
        <v>2E-3</v>
      </c>
    </row>
    <row r="363" spans="1:15" x14ac:dyDescent="0.3">
      <c r="A363" t="s">
        <v>1058</v>
      </c>
      <c r="B363" t="s">
        <v>168</v>
      </c>
      <c r="C363" t="s">
        <v>25</v>
      </c>
      <c r="D363" t="s">
        <v>1059</v>
      </c>
      <c r="E363" t="s">
        <v>105</v>
      </c>
      <c r="F363" t="s">
        <v>113</v>
      </c>
      <c r="G363" t="s">
        <v>107</v>
      </c>
      <c r="H363" t="s">
        <v>252</v>
      </c>
      <c r="I363" t="str">
        <f>_xlfn.IFNA(VLOOKUP(C363,merchants!$A$2:$D$41,2,FALSE),"Merchant not found")</f>
        <v>Merchant_008</v>
      </c>
      <c r="J363" t="str">
        <f>_xlfn.IFNA(VLOOKUP(C363,merchants!$A$2:$D$41,3,FALSE),"Merchant not found")</f>
        <v>food_delivery</v>
      </c>
      <c r="K363" t="str">
        <f>_xlfn.IFNA(VLOOKUP(C363,merchants!$A$2:$D$41,4,FALSE),"Merchant not found")</f>
        <v>North</v>
      </c>
      <c r="L363">
        <f t="shared" si="15"/>
        <v>46038</v>
      </c>
      <c r="M363">
        <f t="shared" si="16"/>
        <v>0</v>
      </c>
      <c r="N363" t="str">
        <f t="shared" si="17"/>
        <v>Standard</v>
      </c>
      <c r="O363">
        <f>HLOOKUP(F363,fee_lookup!$B$1:$E$2,2,FALSE)</f>
        <v>2E-3</v>
      </c>
    </row>
    <row r="364" spans="1:15" x14ac:dyDescent="0.3">
      <c r="A364" t="s">
        <v>1060</v>
      </c>
      <c r="B364" t="s">
        <v>476</v>
      </c>
      <c r="C364" t="s">
        <v>8</v>
      </c>
      <c r="D364" t="s">
        <v>1061</v>
      </c>
      <c r="E364" t="s">
        <v>112</v>
      </c>
      <c r="F364" t="s">
        <v>122</v>
      </c>
      <c r="G364" t="s">
        <v>107</v>
      </c>
      <c r="H364" t="s">
        <v>228</v>
      </c>
      <c r="I364" t="str">
        <f>_xlfn.IFNA(VLOOKUP(C364,merchants!$A$2:$D$41,2,FALSE),"Merchant not found")</f>
        <v>Merchant_002</v>
      </c>
      <c r="J364" t="str">
        <f>_xlfn.IFNA(VLOOKUP(C364,merchants!$A$2:$D$41,3,FALSE),"Merchant not found")</f>
        <v>grocery</v>
      </c>
      <c r="K364" t="str">
        <f>_xlfn.IFNA(VLOOKUP(C364,merchants!$A$2:$D$41,4,FALSE),"Merchant not found")</f>
        <v>West</v>
      </c>
      <c r="L364">
        <f t="shared" si="15"/>
        <v>46041</v>
      </c>
      <c r="M364">
        <f t="shared" si="16"/>
        <v>0</v>
      </c>
      <c r="N364" t="str">
        <f t="shared" si="17"/>
        <v>Standard</v>
      </c>
      <c r="O364">
        <f>HLOOKUP(F364,fee_lookup!$B$1:$E$2,2,FALSE)</f>
        <v>1.2E-2</v>
      </c>
    </row>
    <row r="365" spans="1:15" x14ac:dyDescent="0.3">
      <c r="A365" t="s">
        <v>1062</v>
      </c>
      <c r="B365" t="s">
        <v>765</v>
      </c>
      <c r="C365" t="s">
        <v>87</v>
      </c>
      <c r="D365" t="s">
        <v>1063</v>
      </c>
      <c r="E365" t="s">
        <v>105</v>
      </c>
      <c r="F365" t="s">
        <v>106</v>
      </c>
      <c r="G365" t="s">
        <v>107</v>
      </c>
      <c r="H365" t="s">
        <v>70</v>
      </c>
      <c r="I365" t="str">
        <f>_xlfn.IFNA(VLOOKUP(C365,merchants!$A$2:$D$41,2,FALSE),"Merchant not found")</f>
        <v>Merchant_037</v>
      </c>
      <c r="J365" t="str">
        <f>_xlfn.IFNA(VLOOKUP(C365,merchants!$A$2:$D$41,3,FALSE),"Merchant not found")</f>
        <v>entertainment</v>
      </c>
      <c r="K365" t="str">
        <f>_xlfn.IFNA(VLOOKUP(C365,merchants!$A$2:$D$41,4,FALSE),"Merchant not found")</f>
        <v>South</v>
      </c>
      <c r="L365">
        <f t="shared" si="15"/>
        <v>46038</v>
      </c>
      <c r="M365">
        <f t="shared" si="16"/>
        <v>0</v>
      </c>
      <c r="N365" t="str">
        <f t="shared" si="17"/>
        <v>Standard</v>
      </c>
      <c r="O365">
        <f>HLOOKUP(F365,fee_lookup!$B$1:$E$2,2,FALSE)</f>
        <v>0.01</v>
      </c>
    </row>
    <row r="366" spans="1:15" x14ac:dyDescent="0.3">
      <c r="A366" t="s">
        <v>1064</v>
      </c>
      <c r="B366" t="s">
        <v>390</v>
      </c>
      <c r="C366" t="s">
        <v>32</v>
      </c>
      <c r="D366" t="s">
        <v>1065</v>
      </c>
      <c r="E366" t="s">
        <v>145</v>
      </c>
      <c r="F366" t="s">
        <v>113</v>
      </c>
      <c r="G366" t="s">
        <v>107</v>
      </c>
      <c r="H366" t="s">
        <v>679</v>
      </c>
      <c r="I366" t="str">
        <f>_xlfn.IFNA(VLOOKUP(C366,merchants!$A$2:$D$41,2,FALSE),"Merchant not found")</f>
        <v>Merchant_011</v>
      </c>
      <c r="J366" t="str">
        <f>_xlfn.IFNA(VLOOKUP(C366,merchants!$A$2:$D$41,3,FALSE),"Merchant not found")</f>
        <v>ecommerce</v>
      </c>
      <c r="K366" t="str">
        <f>_xlfn.IFNA(VLOOKUP(C366,merchants!$A$2:$D$41,4,FALSE),"Merchant not found")</f>
        <v>North</v>
      </c>
      <c r="L366">
        <f t="shared" si="15"/>
        <v>46046</v>
      </c>
      <c r="M366">
        <f t="shared" si="16"/>
        <v>0</v>
      </c>
      <c r="N366" t="str">
        <f t="shared" si="17"/>
        <v>Standard</v>
      </c>
      <c r="O366">
        <f>HLOOKUP(F366,fee_lookup!$B$1:$E$2,2,FALSE)</f>
        <v>2E-3</v>
      </c>
    </row>
    <row r="367" spans="1:15" x14ac:dyDescent="0.3">
      <c r="A367" t="s">
        <v>1066</v>
      </c>
      <c r="B367" t="s">
        <v>1067</v>
      </c>
      <c r="C367" t="s">
        <v>30</v>
      </c>
      <c r="D367" t="s">
        <v>1068</v>
      </c>
      <c r="E367" t="s">
        <v>127</v>
      </c>
      <c r="F367" t="s">
        <v>113</v>
      </c>
      <c r="G367" t="s">
        <v>107</v>
      </c>
      <c r="H367" t="s">
        <v>316</v>
      </c>
      <c r="I367" t="str">
        <f>_xlfn.IFNA(VLOOKUP(C367,merchants!$A$2:$D$41,2,FALSE),"Merchant not found")</f>
        <v>Merchant_010</v>
      </c>
      <c r="J367" t="str">
        <f>_xlfn.IFNA(VLOOKUP(C367,merchants!$A$2:$D$41,3,FALSE),"Merchant not found")</f>
        <v>grocery</v>
      </c>
      <c r="K367" t="str">
        <f>_xlfn.IFNA(VLOOKUP(C367,merchants!$A$2:$D$41,4,FALSE),"Merchant not found")</f>
        <v>West</v>
      </c>
      <c r="L367">
        <f t="shared" si="15"/>
        <v>46043</v>
      </c>
      <c r="M367">
        <f t="shared" si="16"/>
        <v>0</v>
      </c>
      <c r="N367" t="str">
        <f t="shared" si="17"/>
        <v>Standard</v>
      </c>
      <c r="O367">
        <f>HLOOKUP(F367,fee_lookup!$B$1:$E$2,2,FALSE)</f>
        <v>2E-3</v>
      </c>
    </row>
    <row r="368" spans="1:15" x14ac:dyDescent="0.3">
      <c r="A368" t="s">
        <v>1069</v>
      </c>
      <c r="B368" t="s">
        <v>356</v>
      </c>
      <c r="C368" t="s">
        <v>36</v>
      </c>
      <c r="D368" t="s">
        <v>1070</v>
      </c>
      <c r="E368" t="s">
        <v>227</v>
      </c>
      <c r="F368" t="s">
        <v>113</v>
      </c>
      <c r="G368" t="s">
        <v>107</v>
      </c>
      <c r="H368" t="s">
        <v>8</v>
      </c>
      <c r="I368" t="str">
        <f>_xlfn.IFNA(VLOOKUP(C368,merchants!$A$2:$D$41,2,FALSE),"Merchant not found")</f>
        <v>Merchant_013</v>
      </c>
      <c r="J368" t="str">
        <f>_xlfn.IFNA(VLOOKUP(C368,merchants!$A$2:$D$41,3,FALSE),"Merchant not found")</f>
        <v>travel</v>
      </c>
      <c r="K368" t="str">
        <f>_xlfn.IFNA(VLOOKUP(C368,merchants!$A$2:$D$41,4,FALSE),"Merchant not found")</f>
        <v>East</v>
      </c>
      <c r="L368">
        <f t="shared" si="15"/>
        <v>46030</v>
      </c>
      <c r="M368">
        <f t="shared" si="16"/>
        <v>0</v>
      </c>
      <c r="N368" t="str">
        <f t="shared" si="17"/>
        <v>Standard</v>
      </c>
      <c r="O368">
        <f>HLOOKUP(F368,fee_lookup!$B$1:$E$2,2,FALSE)</f>
        <v>2E-3</v>
      </c>
    </row>
    <row r="369" spans="1:15" x14ac:dyDescent="0.3">
      <c r="A369" t="s">
        <v>1071</v>
      </c>
      <c r="B369" t="s">
        <v>208</v>
      </c>
      <c r="C369" t="s">
        <v>66</v>
      </c>
      <c r="D369" t="s">
        <v>1072</v>
      </c>
      <c r="E369" t="s">
        <v>118</v>
      </c>
      <c r="F369" t="s">
        <v>122</v>
      </c>
      <c r="G369" t="s">
        <v>155</v>
      </c>
      <c r="H369" t="s">
        <v>556</v>
      </c>
      <c r="I369" t="str">
        <f>_xlfn.IFNA(VLOOKUP(C369,merchants!$A$2:$D$41,2,FALSE),"Merchant not found")</f>
        <v>Merchant_027</v>
      </c>
      <c r="J369" t="str">
        <f>_xlfn.IFNA(VLOOKUP(C369,merchants!$A$2:$D$41,3,FALSE),"Merchant not found")</f>
        <v>ecommerce</v>
      </c>
      <c r="K369" t="str">
        <f>_xlfn.IFNA(VLOOKUP(C369,merchants!$A$2:$D$41,4,FALSE),"Merchant not found")</f>
        <v>North</v>
      </c>
      <c r="L369">
        <f t="shared" si="15"/>
        <v>46037</v>
      </c>
      <c r="M369">
        <f t="shared" si="16"/>
        <v>0</v>
      </c>
      <c r="N369" t="str">
        <f t="shared" si="17"/>
        <v>Standard</v>
      </c>
      <c r="O369">
        <f>HLOOKUP(F369,fee_lookup!$B$1:$E$2,2,FALSE)</f>
        <v>1.2E-2</v>
      </c>
    </row>
    <row r="370" spans="1:15" x14ac:dyDescent="0.3">
      <c r="A370" t="s">
        <v>1073</v>
      </c>
      <c r="B370" t="s">
        <v>1074</v>
      </c>
      <c r="C370" t="s">
        <v>74</v>
      </c>
      <c r="D370" t="s">
        <v>1075</v>
      </c>
      <c r="E370" t="s">
        <v>112</v>
      </c>
      <c r="F370" t="s">
        <v>113</v>
      </c>
      <c r="G370" t="s">
        <v>198</v>
      </c>
      <c r="H370" t="s">
        <v>981</v>
      </c>
      <c r="I370" t="str">
        <f>_xlfn.IFNA(VLOOKUP(C370,merchants!$A$2:$D$41,2,FALSE),"Merchant not found")</f>
        <v>Merchant_031</v>
      </c>
      <c r="J370" t="str">
        <f>_xlfn.IFNA(VLOOKUP(C370,merchants!$A$2:$D$41,3,FALSE),"Merchant not found")</f>
        <v>bill_payment</v>
      </c>
      <c r="K370" t="str">
        <f>_xlfn.IFNA(VLOOKUP(C370,merchants!$A$2:$D$41,4,FALSE),"Merchant not found")</f>
        <v>East</v>
      </c>
      <c r="L370">
        <f t="shared" si="15"/>
        <v>46029</v>
      </c>
      <c r="M370">
        <f t="shared" si="16"/>
        <v>0</v>
      </c>
      <c r="N370" t="str">
        <f t="shared" si="17"/>
        <v>Standard</v>
      </c>
      <c r="O370">
        <f>HLOOKUP(F370,fee_lookup!$B$1:$E$2,2,FALSE)</f>
        <v>2E-3</v>
      </c>
    </row>
    <row r="371" spans="1:15" x14ac:dyDescent="0.3">
      <c r="A371" t="s">
        <v>1076</v>
      </c>
      <c r="B371" t="s">
        <v>592</v>
      </c>
      <c r="C371" t="s">
        <v>80</v>
      </c>
      <c r="D371" t="s">
        <v>1077</v>
      </c>
      <c r="E371" t="s">
        <v>220</v>
      </c>
      <c r="F371" t="s">
        <v>113</v>
      </c>
      <c r="G371" t="s">
        <v>107</v>
      </c>
      <c r="H371" t="s">
        <v>64</v>
      </c>
      <c r="I371" t="str">
        <f>_xlfn.IFNA(VLOOKUP(C371,merchants!$A$2:$D$41,2,FALSE),"Merchant not found")</f>
        <v>Merchant_034</v>
      </c>
      <c r="J371" t="str">
        <f>_xlfn.IFNA(VLOOKUP(C371,merchants!$A$2:$D$41,3,FALSE),"Merchant not found")</f>
        <v>travel</v>
      </c>
      <c r="K371" t="str">
        <f>_xlfn.IFNA(VLOOKUP(C371,merchants!$A$2:$D$41,4,FALSE),"Merchant not found")</f>
        <v>South</v>
      </c>
      <c r="L371">
        <f t="shared" si="15"/>
        <v>46046</v>
      </c>
      <c r="M371">
        <f t="shared" si="16"/>
        <v>0</v>
      </c>
      <c r="N371" t="str">
        <f t="shared" si="17"/>
        <v>Standard</v>
      </c>
      <c r="O371">
        <f>HLOOKUP(F371,fee_lookup!$B$1:$E$2,2,FALSE)</f>
        <v>2E-3</v>
      </c>
    </row>
    <row r="372" spans="1:15" x14ac:dyDescent="0.3">
      <c r="A372" t="s">
        <v>1078</v>
      </c>
      <c r="B372" t="s">
        <v>393</v>
      </c>
      <c r="C372" t="s">
        <v>80</v>
      </c>
      <c r="D372" t="s">
        <v>1079</v>
      </c>
      <c r="E372" t="s">
        <v>127</v>
      </c>
      <c r="F372" t="s">
        <v>113</v>
      </c>
      <c r="G372" t="s">
        <v>107</v>
      </c>
      <c r="H372" t="s">
        <v>809</v>
      </c>
      <c r="I372" t="str">
        <f>_xlfn.IFNA(VLOOKUP(C372,merchants!$A$2:$D$41,2,FALSE),"Merchant not found")</f>
        <v>Merchant_034</v>
      </c>
      <c r="J372" t="str">
        <f>_xlfn.IFNA(VLOOKUP(C372,merchants!$A$2:$D$41,3,FALSE),"Merchant not found")</f>
        <v>travel</v>
      </c>
      <c r="K372" t="str">
        <f>_xlfn.IFNA(VLOOKUP(C372,merchants!$A$2:$D$41,4,FALSE),"Merchant not found")</f>
        <v>South</v>
      </c>
      <c r="L372">
        <f t="shared" si="15"/>
        <v>46040</v>
      </c>
      <c r="M372">
        <f t="shared" si="16"/>
        <v>0</v>
      </c>
      <c r="N372" t="str">
        <f t="shared" si="17"/>
        <v>Standard</v>
      </c>
      <c r="O372">
        <f>HLOOKUP(F372,fee_lookup!$B$1:$E$2,2,FALSE)</f>
        <v>2E-3</v>
      </c>
    </row>
    <row r="373" spans="1:15" x14ac:dyDescent="0.3">
      <c r="A373" t="s">
        <v>1080</v>
      </c>
      <c r="B373" t="s">
        <v>1081</v>
      </c>
      <c r="C373" t="s">
        <v>56</v>
      </c>
      <c r="D373" t="s">
        <v>1082</v>
      </c>
      <c r="E373" t="s">
        <v>145</v>
      </c>
      <c r="F373" t="s">
        <v>106</v>
      </c>
      <c r="G373" t="s">
        <v>107</v>
      </c>
      <c r="H373" t="s">
        <v>527</v>
      </c>
      <c r="I373" t="str">
        <f>_xlfn.IFNA(VLOOKUP(C373,merchants!$A$2:$D$41,2,FALSE),"Merchant not found")</f>
        <v>Merchant_022</v>
      </c>
      <c r="J373" t="str">
        <f>_xlfn.IFNA(VLOOKUP(C373,merchants!$A$2:$D$41,3,FALSE),"Merchant not found")</f>
        <v>travel</v>
      </c>
      <c r="K373" t="str">
        <f>_xlfn.IFNA(VLOOKUP(C373,merchants!$A$2:$D$41,4,FALSE),"Merchant not found")</f>
        <v>South</v>
      </c>
      <c r="L373">
        <f t="shared" si="15"/>
        <v>46033</v>
      </c>
      <c r="M373">
        <f t="shared" si="16"/>
        <v>0</v>
      </c>
      <c r="N373" t="str">
        <f t="shared" si="17"/>
        <v>Standard</v>
      </c>
      <c r="O373">
        <f>HLOOKUP(F373,fee_lookup!$B$1:$E$2,2,FALSE)</f>
        <v>0.01</v>
      </c>
    </row>
    <row r="374" spans="1:15" x14ac:dyDescent="0.3">
      <c r="A374" t="s">
        <v>1083</v>
      </c>
      <c r="B374" t="s">
        <v>1084</v>
      </c>
      <c r="C374" t="s">
        <v>46</v>
      </c>
      <c r="D374" t="s">
        <v>1085</v>
      </c>
      <c r="E374" t="s">
        <v>118</v>
      </c>
      <c r="F374" t="s">
        <v>113</v>
      </c>
      <c r="G374" t="s">
        <v>107</v>
      </c>
      <c r="H374" t="s">
        <v>208</v>
      </c>
      <c r="I374" t="str">
        <f>_xlfn.IFNA(VLOOKUP(C374,merchants!$A$2:$D$41,2,FALSE),"Merchant not found")</f>
        <v>Merchant_017</v>
      </c>
      <c r="J374" t="str">
        <f>_xlfn.IFNA(VLOOKUP(C374,merchants!$A$2:$D$41,3,FALSE),"Merchant not found")</f>
        <v>grocery</v>
      </c>
      <c r="K374" t="str">
        <f>_xlfn.IFNA(VLOOKUP(C374,merchants!$A$2:$D$41,4,FALSE),"Merchant not found")</f>
        <v>North</v>
      </c>
      <c r="L374">
        <f t="shared" si="15"/>
        <v>46034</v>
      </c>
      <c r="M374">
        <f t="shared" si="16"/>
        <v>0</v>
      </c>
      <c r="N374" t="str">
        <f t="shared" si="17"/>
        <v>Standard</v>
      </c>
      <c r="O374">
        <f>HLOOKUP(F374,fee_lookup!$B$1:$E$2,2,FALSE)</f>
        <v>2E-3</v>
      </c>
    </row>
    <row r="375" spans="1:15" x14ac:dyDescent="0.3">
      <c r="A375" t="s">
        <v>1086</v>
      </c>
      <c r="B375" t="s">
        <v>1087</v>
      </c>
      <c r="C375" t="s">
        <v>84</v>
      </c>
      <c r="D375" t="s">
        <v>1088</v>
      </c>
      <c r="E375" t="s">
        <v>118</v>
      </c>
      <c r="F375" t="s">
        <v>122</v>
      </c>
      <c r="G375" t="s">
        <v>107</v>
      </c>
      <c r="H375" t="s">
        <v>89</v>
      </c>
      <c r="I375" t="str">
        <f>_xlfn.IFNA(VLOOKUP(C375,merchants!$A$2:$D$41,2,FALSE),"Merchant not found")</f>
        <v>Merchant_036</v>
      </c>
      <c r="J375" t="str">
        <f>_xlfn.IFNA(VLOOKUP(C375,merchants!$A$2:$D$41,3,FALSE),"Merchant not found")</f>
        <v>entertainment</v>
      </c>
      <c r="K375" t="str">
        <f>_xlfn.IFNA(VLOOKUP(C375,merchants!$A$2:$D$41,4,FALSE),"Merchant not found")</f>
        <v>East</v>
      </c>
      <c r="L375">
        <f t="shared" si="15"/>
        <v>46038</v>
      </c>
      <c r="M375">
        <f t="shared" si="16"/>
        <v>0</v>
      </c>
      <c r="N375" t="str">
        <f t="shared" si="17"/>
        <v>Standard</v>
      </c>
      <c r="O375">
        <f>HLOOKUP(F375,fee_lookup!$B$1:$E$2,2,FALSE)</f>
        <v>1.2E-2</v>
      </c>
    </row>
    <row r="376" spans="1:15" x14ac:dyDescent="0.3">
      <c r="A376" t="s">
        <v>1089</v>
      </c>
      <c r="B376" t="s">
        <v>435</v>
      </c>
      <c r="C376" t="s">
        <v>39</v>
      </c>
      <c r="D376" t="s">
        <v>1090</v>
      </c>
      <c r="E376" t="s">
        <v>140</v>
      </c>
      <c r="F376" t="s">
        <v>106</v>
      </c>
      <c r="G376" t="s">
        <v>107</v>
      </c>
      <c r="H376" t="s">
        <v>556</v>
      </c>
      <c r="I376" t="str">
        <f>_xlfn.IFNA(VLOOKUP(C376,merchants!$A$2:$D$41,2,FALSE),"Merchant not found")</f>
        <v>Merchant_014</v>
      </c>
      <c r="J376" t="str">
        <f>_xlfn.IFNA(VLOOKUP(C376,merchants!$A$2:$D$41,3,FALSE),"Merchant not found")</f>
        <v>grocery</v>
      </c>
      <c r="K376" t="str">
        <f>_xlfn.IFNA(VLOOKUP(C376,merchants!$A$2:$D$41,4,FALSE),"Merchant not found")</f>
        <v>East</v>
      </c>
      <c r="L376">
        <f t="shared" si="15"/>
        <v>46030</v>
      </c>
      <c r="M376">
        <f t="shared" si="16"/>
        <v>0</v>
      </c>
      <c r="N376" t="str">
        <f t="shared" si="17"/>
        <v>Standard</v>
      </c>
      <c r="O376">
        <f>HLOOKUP(F376,fee_lookup!$B$1:$E$2,2,FALSE)</f>
        <v>0.01</v>
      </c>
    </row>
    <row r="377" spans="1:15" x14ac:dyDescent="0.3">
      <c r="A377" t="s">
        <v>1091</v>
      </c>
      <c r="B377" t="s">
        <v>390</v>
      </c>
      <c r="C377" t="s">
        <v>58</v>
      </c>
      <c r="D377" t="s">
        <v>1092</v>
      </c>
      <c r="E377" t="s">
        <v>112</v>
      </c>
      <c r="F377" t="s">
        <v>113</v>
      </c>
      <c r="G377" t="s">
        <v>107</v>
      </c>
      <c r="H377" t="s">
        <v>592</v>
      </c>
      <c r="I377" t="str">
        <f>_xlfn.IFNA(VLOOKUP(C377,merchants!$A$2:$D$41,2,FALSE),"Merchant not found")</f>
        <v>Merchant_023</v>
      </c>
      <c r="J377" t="str">
        <f>_xlfn.IFNA(VLOOKUP(C377,merchants!$A$2:$D$41,3,FALSE),"Merchant not found")</f>
        <v>travel</v>
      </c>
      <c r="K377" t="str">
        <f>_xlfn.IFNA(VLOOKUP(C377,merchants!$A$2:$D$41,4,FALSE),"Merchant not found")</f>
        <v>North</v>
      </c>
      <c r="L377">
        <f t="shared" si="15"/>
        <v>46045</v>
      </c>
      <c r="M377">
        <f t="shared" si="16"/>
        <v>0</v>
      </c>
      <c r="N377" t="str">
        <f t="shared" si="17"/>
        <v>Standard</v>
      </c>
      <c r="O377">
        <f>HLOOKUP(F377,fee_lookup!$B$1:$E$2,2,FALSE)</f>
        <v>2E-3</v>
      </c>
    </row>
    <row r="378" spans="1:15" x14ac:dyDescent="0.3">
      <c r="A378" t="s">
        <v>1093</v>
      </c>
      <c r="B378" t="s">
        <v>435</v>
      </c>
      <c r="C378" t="s">
        <v>25</v>
      </c>
      <c r="D378" t="s">
        <v>1094</v>
      </c>
      <c r="E378" t="s">
        <v>127</v>
      </c>
      <c r="F378" t="s">
        <v>106</v>
      </c>
      <c r="G378" t="s">
        <v>107</v>
      </c>
      <c r="H378" t="s">
        <v>508</v>
      </c>
      <c r="I378" t="str">
        <f>_xlfn.IFNA(VLOOKUP(C378,merchants!$A$2:$D$41,2,FALSE),"Merchant not found")</f>
        <v>Merchant_008</v>
      </c>
      <c r="J378" t="str">
        <f>_xlfn.IFNA(VLOOKUP(C378,merchants!$A$2:$D$41,3,FALSE),"Merchant not found")</f>
        <v>food_delivery</v>
      </c>
      <c r="K378" t="str">
        <f>_xlfn.IFNA(VLOOKUP(C378,merchants!$A$2:$D$41,4,FALSE),"Merchant not found")</f>
        <v>North</v>
      </c>
      <c r="L378">
        <f t="shared" si="15"/>
        <v>46052</v>
      </c>
      <c r="M378">
        <f t="shared" si="16"/>
        <v>0</v>
      </c>
      <c r="N378" t="str">
        <f t="shared" si="17"/>
        <v>Standard</v>
      </c>
      <c r="O378">
        <f>HLOOKUP(F378,fee_lookup!$B$1:$E$2,2,FALSE)</f>
        <v>0.01</v>
      </c>
    </row>
    <row r="379" spans="1:15" x14ac:dyDescent="0.3">
      <c r="A379" t="s">
        <v>1095</v>
      </c>
      <c r="B379" t="s">
        <v>594</v>
      </c>
      <c r="C379" t="s">
        <v>58</v>
      </c>
      <c r="D379" t="s">
        <v>1096</v>
      </c>
      <c r="E379" t="s">
        <v>112</v>
      </c>
      <c r="F379" t="s">
        <v>113</v>
      </c>
      <c r="G379" t="s">
        <v>107</v>
      </c>
      <c r="H379" t="s">
        <v>238</v>
      </c>
      <c r="I379" t="str">
        <f>_xlfn.IFNA(VLOOKUP(C379,merchants!$A$2:$D$41,2,FALSE),"Merchant not found")</f>
        <v>Merchant_023</v>
      </c>
      <c r="J379" t="str">
        <f>_xlfn.IFNA(VLOOKUP(C379,merchants!$A$2:$D$41,3,FALSE),"Merchant not found")</f>
        <v>travel</v>
      </c>
      <c r="K379" t="str">
        <f>_xlfn.IFNA(VLOOKUP(C379,merchants!$A$2:$D$41,4,FALSE),"Merchant not found")</f>
        <v>North</v>
      </c>
      <c r="L379">
        <f t="shared" si="15"/>
        <v>46044</v>
      </c>
      <c r="M379">
        <f t="shared" si="16"/>
        <v>0</v>
      </c>
      <c r="N379" t="str">
        <f t="shared" si="17"/>
        <v>Standard</v>
      </c>
      <c r="O379">
        <f>HLOOKUP(F379,fee_lookup!$B$1:$E$2,2,FALSE)</f>
        <v>2E-3</v>
      </c>
    </row>
    <row r="380" spans="1:15" x14ac:dyDescent="0.3">
      <c r="A380" t="s">
        <v>1097</v>
      </c>
      <c r="B380" t="s">
        <v>56</v>
      </c>
      <c r="C380" t="s">
        <v>50</v>
      </c>
      <c r="D380" t="s">
        <v>1098</v>
      </c>
      <c r="E380" t="s">
        <v>112</v>
      </c>
      <c r="F380" t="s">
        <v>154</v>
      </c>
      <c r="G380" t="s">
        <v>107</v>
      </c>
      <c r="H380" t="s">
        <v>762</v>
      </c>
      <c r="I380" t="str">
        <f>_xlfn.IFNA(VLOOKUP(C380,merchants!$A$2:$D$41,2,FALSE),"Merchant not found")</f>
        <v>Merchant_019</v>
      </c>
      <c r="J380" t="str">
        <f>_xlfn.IFNA(VLOOKUP(C380,merchants!$A$2:$D$41,3,FALSE),"Merchant not found")</f>
        <v>grocery</v>
      </c>
      <c r="K380" t="str">
        <f>_xlfn.IFNA(VLOOKUP(C380,merchants!$A$2:$D$41,4,FALSE),"Merchant not found")</f>
        <v>North</v>
      </c>
      <c r="L380">
        <f t="shared" si="15"/>
        <v>46048</v>
      </c>
      <c r="M380">
        <f t="shared" si="16"/>
        <v>0</v>
      </c>
      <c r="N380" t="str">
        <f t="shared" si="17"/>
        <v>Standard</v>
      </c>
      <c r="O380">
        <f>HLOOKUP(F380,fee_lookup!$B$1:$E$2,2,FALSE)</f>
        <v>1.7999999999999999E-2</v>
      </c>
    </row>
    <row r="381" spans="1:15" x14ac:dyDescent="0.3">
      <c r="A381" t="s">
        <v>1099</v>
      </c>
      <c r="B381" t="s">
        <v>471</v>
      </c>
      <c r="C381" t="s">
        <v>46</v>
      </c>
      <c r="D381" t="s">
        <v>1100</v>
      </c>
      <c r="E381" t="s">
        <v>145</v>
      </c>
      <c r="F381" t="s">
        <v>106</v>
      </c>
      <c r="G381" t="s">
        <v>107</v>
      </c>
      <c r="H381" t="s">
        <v>367</v>
      </c>
      <c r="I381" t="str">
        <f>_xlfn.IFNA(VLOOKUP(C381,merchants!$A$2:$D$41,2,FALSE),"Merchant not found")</f>
        <v>Merchant_017</v>
      </c>
      <c r="J381" t="str">
        <f>_xlfn.IFNA(VLOOKUP(C381,merchants!$A$2:$D$41,3,FALSE),"Merchant not found")</f>
        <v>grocery</v>
      </c>
      <c r="K381" t="str">
        <f>_xlfn.IFNA(VLOOKUP(C381,merchants!$A$2:$D$41,4,FALSE),"Merchant not found")</f>
        <v>North</v>
      </c>
      <c r="L381">
        <f t="shared" si="15"/>
        <v>46025</v>
      </c>
      <c r="M381">
        <f t="shared" si="16"/>
        <v>0</v>
      </c>
      <c r="N381" t="str">
        <f t="shared" si="17"/>
        <v>Standard</v>
      </c>
      <c r="O381">
        <f>HLOOKUP(F381,fee_lookup!$B$1:$E$2,2,FALSE)</f>
        <v>0.01</v>
      </c>
    </row>
    <row r="382" spans="1:15" x14ac:dyDescent="0.3">
      <c r="A382" t="s">
        <v>1101</v>
      </c>
      <c r="B382" t="s">
        <v>164</v>
      </c>
      <c r="C382" t="s">
        <v>48</v>
      </c>
      <c r="D382" t="s">
        <v>1102</v>
      </c>
      <c r="E382" t="s">
        <v>227</v>
      </c>
      <c r="F382" t="s">
        <v>106</v>
      </c>
      <c r="G382" t="s">
        <v>107</v>
      </c>
      <c r="H382" t="s">
        <v>592</v>
      </c>
      <c r="I382" t="str">
        <f>_xlfn.IFNA(VLOOKUP(C382,merchants!$A$2:$D$41,2,FALSE),"Merchant not found")</f>
        <v>Merchant_018</v>
      </c>
      <c r="J382" t="str">
        <f>_xlfn.IFNA(VLOOKUP(C382,merchants!$A$2:$D$41,3,FALSE),"Merchant not found")</f>
        <v>grocery</v>
      </c>
      <c r="K382" t="str">
        <f>_xlfn.IFNA(VLOOKUP(C382,merchants!$A$2:$D$41,4,FALSE),"Merchant not found")</f>
        <v>West</v>
      </c>
      <c r="L382">
        <f t="shared" si="15"/>
        <v>46038</v>
      </c>
      <c r="M382">
        <f t="shared" si="16"/>
        <v>0</v>
      </c>
      <c r="N382" t="str">
        <f t="shared" si="17"/>
        <v>Standard</v>
      </c>
      <c r="O382">
        <f>HLOOKUP(F382,fee_lookup!$B$1:$E$2,2,FALSE)</f>
        <v>0.01</v>
      </c>
    </row>
    <row r="383" spans="1:15" x14ac:dyDescent="0.3">
      <c r="A383" t="s">
        <v>1103</v>
      </c>
      <c r="B383" t="s">
        <v>533</v>
      </c>
      <c r="C383" t="s">
        <v>93</v>
      </c>
      <c r="D383" t="s">
        <v>1104</v>
      </c>
      <c r="E383" t="s">
        <v>127</v>
      </c>
      <c r="F383" t="s">
        <v>154</v>
      </c>
      <c r="G383" t="s">
        <v>107</v>
      </c>
      <c r="H383" t="s">
        <v>981</v>
      </c>
      <c r="I383" t="str">
        <f>_xlfn.IFNA(VLOOKUP(C383,merchants!$A$2:$D$41,2,FALSE),"Merchant not found")</f>
        <v>Merchant_040</v>
      </c>
      <c r="J383" t="str">
        <f>_xlfn.IFNA(VLOOKUP(C383,merchants!$A$2:$D$41,3,FALSE),"Merchant not found")</f>
        <v>entertainment</v>
      </c>
      <c r="K383" t="str">
        <f>_xlfn.IFNA(VLOOKUP(C383,merchants!$A$2:$D$41,4,FALSE),"Merchant not found")</f>
        <v>South</v>
      </c>
      <c r="L383">
        <f t="shared" si="15"/>
        <v>46045</v>
      </c>
      <c r="M383">
        <f t="shared" si="16"/>
        <v>0</v>
      </c>
      <c r="N383" t="str">
        <f t="shared" si="17"/>
        <v>Standard</v>
      </c>
      <c r="O383">
        <f>HLOOKUP(F383,fee_lookup!$B$1:$E$2,2,FALSE)</f>
        <v>1.7999999999999999E-2</v>
      </c>
    </row>
    <row r="384" spans="1:15" x14ac:dyDescent="0.3">
      <c r="A384" t="s">
        <v>1105</v>
      </c>
      <c r="B384" t="s">
        <v>64</v>
      </c>
      <c r="C384" t="s">
        <v>80</v>
      </c>
      <c r="D384" t="s">
        <v>1106</v>
      </c>
      <c r="E384" t="s">
        <v>220</v>
      </c>
      <c r="F384" t="s">
        <v>154</v>
      </c>
      <c r="G384" t="s">
        <v>107</v>
      </c>
      <c r="H384" t="s">
        <v>68</v>
      </c>
      <c r="I384" t="str">
        <f>_xlfn.IFNA(VLOOKUP(C384,merchants!$A$2:$D$41,2,FALSE),"Merchant not found")</f>
        <v>Merchant_034</v>
      </c>
      <c r="J384" t="str">
        <f>_xlfn.IFNA(VLOOKUP(C384,merchants!$A$2:$D$41,3,FALSE),"Merchant not found")</f>
        <v>travel</v>
      </c>
      <c r="K384" t="str">
        <f>_xlfn.IFNA(VLOOKUP(C384,merchants!$A$2:$D$41,4,FALSE),"Merchant not found")</f>
        <v>South</v>
      </c>
      <c r="L384">
        <f t="shared" si="15"/>
        <v>46041</v>
      </c>
      <c r="M384">
        <f t="shared" si="16"/>
        <v>0</v>
      </c>
      <c r="N384" t="str">
        <f t="shared" si="17"/>
        <v>Standard</v>
      </c>
      <c r="O384">
        <f>HLOOKUP(F384,fee_lookup!$B$1:$E$2,2,FALSE)</f>
        <v>1.7999999999999999E-2</v>
      </c>
    </row>
    <row r="385" spans="1:15" x14ac:dyDescent="0.3">
      <c r="A385" t="s">
        <v>1107</v>
      </c>
      <c r="B385" t="s">
        <v>415</v>
      </c>
      <c r="C385" t="s">
        <v>66</v>
      </c>
      <c r="D385" t="s">
        <v>1108</v>
      </c>
      <c r="E385" t="s">
        <v>220</v>
      </c>
      <c r="F385" t="s">
        <v>154</v>
      </c>
      <c r="G385" t="s">
        <v>107</v>
      </c>
      <c r="H385" t="s">
        <v>146</v>
      </c>
      <c r="I385" t="str">
        <f>_xlfn.IFNA(VLOOKUP(C385,merchants!$A$2:$D$41,2,FALSE),"Merchant not found")</f>
        <v>Merchant_027</v>
      </c>
      <c r="J385" t="str">
        <f>_xlfn.IFNA(VLOOKUP(C385,merchants!$A$2:$D$41,3,FALSE),"Merchant not found")</f>
        <v>ecommerce</v>
      </c>
      <c r="K385" t="str">
        <f>_xlfn.IFNA(VLOOKUP(C385,merchants!$A$2:$D$41,4,FALSE),"Merchant not found")</f>
        <v>North</v>
      </c>
      <c r="L385">
        <f t="shared" si="15"/>
        <v>46043</v>
      </c>
      <c r="M385">
        <f t="shared" si="16"/>
        <v>0</v>
      </c>
      <c r="N385" t="str">
        <f t="shared" si="17"/>
        <v>Standard</v>
      </c>
      <c r="O385">
        <f>HLOOKUP(F385,fee_lookup!$B$1:$E$2,2,FALSE)</f>
        <v>1.7999999999999999E-2</v>
      </c>
    </row>
    <row r="386" spans="1:15" x14ac:dyDescent="0.3">
      <c r="A386" t="s">
        <v>1109</v>
      </c>
      <c r="B386" t="s">
        <v>1084</v>
      </c>
      <c r="C386" t="s">
        <v>28</v>
      </c>
      <c r="D386" t="s">
        <v>1110</v>
      </c>
      <c r="E386" t="s">
        <v>220</v>
      </c>
      <c r="F386" t="s">
        <v>106</v>
      </c>
      <c r="G386" t="s">
        <v>107</v>
      </c>
      <c r="H386" t="s">
        <v>496</v>
      </c>
      <c r="I386" t="str">
        <f>_xlfn.IFNA(VLOOKUP(C386,merchants!$A$2:$D$41,2,FALSE),"Merchant not found")</f>
        <v>Merchant_009</v>
      </c>
      <c r="J386" t="str">
        <f>_xlfn.IFNA(VLOOKUP(C386,merchants!$A$2:$D$41,3,FALSE),"Merchant not found")</f>
        <v>ecommerce</v>
      </c>
      <c r="K386" t="str">
        <f>_xlfn.IFNA(VLOOKUP(C386,merchants!$A$2:$D$41,4,FALSE),"Merchant not found")</f>
        <v>North</v>
      </c>
      <c r="L386">
        <f t="shared" ref="L386:L449" si="18">DATE(LEFT(D386,4),MID(D386,6,2),MID(D386,9,2))</f>
        <v>46045</v>
      </c>
      <c r="M386">
        <f t="shared" ref="M386:M449" si="19">SUMIFS($E:$E,$C:$C,C386,$L:$L,L386)</f>
        <v>0</v>
      </c>
      <c r="N386" t="str">
        <f t="shared" ref="N386:N449" si="20">IF(AND(M386&gt;5000,K386&lt;&gt;"East"),"High-Value Merchant Day","Standard")</f>
        <v>Standard</v>
      </c>
      <c r="O386">
        <f>HLOOKUP(F386,fee_lookup!$B$1:$E$2,2,FALSE)</f>
        <v>0.01</v>
      </c>
    </row>
    <row r="387" spans="1:15" x14ac:dyDescent="0.3">
      <c r="A387" t="s">
        <v>1111</v>
      </c>
      <c r="B387" t="s">
        <v>1112</v>
      </c>
      <c r="C387" t="s">
        <v>74</v>
      </c>
      <c r="D387" t="s">
        <v>1113</v>
      </c>
      <c r="E387" t="s">
        <v>112</v>
      </c>
      <c r="F387" t="s">
        <v>154</v>
      </c>
      <c r="G387" t="s">
        <v>107</v>
      </c>
      <c r="H387" t="s">
        <v>259</v>
      </c>
      <c r="I387" t="str">
        <f>_xlfn.IFNA(VLOOKUP(C387,merchants!$A$2:$D$41,2,FALSE),"Merchant not found")</f>
        <v>Merchant_031</v>
      </c>
      <c r="J387" t="str">
        <f>_xlfn.IFNA(VLOOKUP(C387,merchants!$A$2:$D$41,3,FALSE),"Merchant not found")</f>
        <v>bill_payment</v>
      </c>
      <c r="K387" t="str">
        <f>_xlfn.IFNA(VLOOKUP(C387,merchants!$A$2:$D$41,4,FALSE),"Merchant not found")</f>
        <v>East</v>
      </c>
      <c r="L387">
        <f t="shared" si="18"/>
        <v>46040</v>
      </c>
      <c r="M387">
        <f t="shared" si="19"/>
        <v>0</v>
      </c>
      <c r="N387" t="str">
        <f t="shared" si="20"/>
        <v>Standard</v>
      </c>
      <c r="O387">
        <f>HLOOKUP(F387,fee_lookup!$B$1:$E$2,2,FALSE)</f>
        <v>1.7999999999999999E-2</v>
      </c>
    </row>
    <row r="388" spans="1:15" x14ac:dyDescent="0.3">
      <c r="A388" t="s">
        <v>1114</v>
      </c>
      <c r="B388" t="s">
        <v>435</v>
      </c>
      <c r="C388" t="s">
        <v>54</v>
      </c>
      <c r="D388" t="s">
        <v>1115</v>
      </c>
      <c r="E388" t="s">
        <v>112</v>
      </c>
      <c r="F388" t="s">
        <v>154</v>
      </c>
      <c r="G388" t="s">
        <v>107</v>
      </c>
      <c r="H388" t="s">
        <v>84</v>
      </c>
      <c r="I388" t="str">
        <f>_xlfn.IFNA(VLOOKUP(C388,merchants!$A$2:$D$41,2,FALSE),"Merchant not found")</f>
        <v>Merchant_021</v>
      </c>
      <c r="J388" t="str">
        <f>_xlfn.IFNA(VLOOKUP(C388,merchants!$A$2:$D$41,3,FALSE),"Merchant not found")</f>
        <v>food_delivery</v>
      </c>
      <c r="K388" t="str">
        <f>_xlfn.IFNA(VLOOKUP(C388,merchants!$A$2:$D$41,4,FALSE),"Merchant not found")</f>
        <v>East</v>
      </c>
      <c r="L388">
        <f t="shared" si="18"/>
        <v>46043</v>
      </c>
      <c r="M388">
        <f t="shared" si="19"/>
        <v>0</v>
      </c>
      <c r="N388" t="str">
        <f t="shared" si="20"/>
        <v>Standard</v>
      </c>
      <c r="O388">
        <f>HLOOKUP(F388,fee_lookup!$B$1:$E$2,2,FALSE)</f>
        <v>1.7999999999999999E-2</v>
      </c>
    </row>
    <row r="389" spans="1:15" x14ac:dyDescent="0.3">
      <c r="A389" t="s">
        <v>1116</v>
      </c>
      <c r="B389" t="s">
        <v>166</v>
      </c>
      <c r="C389" t="s">
        <v>87</v>
      </c>
      <c r="D389" t="s">
        <v>1117</v>
      </c>
      <c r="E389" t="s">
        <v>127</v>
      </c>
      <c r="F389" t="s">
        <v>106</v>
      </c>
      <c r="G389" t="s">
        <v>107</v>
      </c>
      <c r="H389" t="s">
        <v>70</v>
      </c>
      <c r="I389" t="str">
        <f>_xlfn.IFNA(VLOOKUP(C389,merchants!$A$2:$D$41,2,FALSE),"Merchant not found")</f>
        <v>Merchant_037</v>
      </c>
      <c r="J389" t="str">
        <f>_xlfn.IFNA(VLOOKUP(C389,merchants!$A$2:$D$41,3,FALSE),"Merchant not found")</f>
        <v>entertainment</v>
      </c>
      <c r="K389" t="str">
        <f>_xlfn.IFNA(VLOOKUP(C389,merchants!$A$2:$D$41,4,FALSE),"Merchant not found")</f>
        <v>South</v>
      </c>
      <c r="L389">
        <f t="shared" si="18"/>
        <v>46043</v>
      </c>
      <c r="M389">
        <f t="shared" si="19"/>
        <v>0</v>
      </c>
      <c r="N389" t="str">
        <f t="shared" si="20"/>
        <v>Standard</v>
      </c>
      <c r="O389">
        <f>HLOOKUP(F389,fee_lookup!$B$1:$E$2,2,FALSE)</f>
        <v>0.01</v>
      </c>
    </row>
    <row r="390" spans="1:15" x14ac:dyDescent="0.3">
      <c r="A390" t="s">
        <v>1118</v>
      </c>
      <c r="B390" t="s">
        <v>52</v>
      </c>
      <c r="C390" t="s">
        <v>34</v>
      </c>
      <c r="D390" t="s">
        <v>1119</v>
      </c>
      <c r="E390" t="s">
        <v>140</v>
      </c>
      <c r="F390" t="s">
        <v>154</v>
      </c>
      <c r="G390" t="s">
        <v>107</v>
      </c>
      <c r="H390" t="s">
        <v>252</v>
      </c>
      <c r="I390" t="str">
        <f>_xlfn.IFNA(VLOOKUP(C390,merchants!$A$2:$D$41,2,FALSE),"Merchant not found")</f>
        <v>Merchant_012</v>
      </c>
      <c r="J390" t="str">
        <f>_xlfn.IFNA(VLOOKUP(C390,merchants!$A$2:$D$41,3,FALSE),"Merchant not found")</f>
        <v>ecommerce</v>
      </c>
      <c r="K390" t="str">
        <f>_xlfn.IFNA(VLOOKUP(C390,merchants!$A$2:$D$41,4,FALSE),"Merchant not found")</f>
        <v>East</v>
      </c>
      <c r="L390">
        <f t="shared" si="18"/>
        <v>46040</v>
      </c>
      <c r="M390">
        <f t="shared" si="19"/>
        <v>0</v>
      </c>
      <c r="N390" t="str">
        <f t="shared" si="20"/>
        <v>Standard</v>
      </c>
      <c r="O390">
        <f>HLOOKUP(F390,fee_lookup!$B$1:$E$2,2,FALSE)</f>
        <v>1.7999999999999999E-2</v>
      </c>
    </row>
    <row r="391" spans="1:15" x14ac:dyDescent="0.3">
      <c r="A391" t="s">
        <v>1120</v>
      </c>
      <c r="B391" t="s">
        <v>50</v>
      </c>
      <c r="C391" t="s">
        <v>64</v>
      </c>
      <c r="D391" t="s">
        <v>1121</v>
      </c>
      <c r="E391" t="s">
        <v>112</v>
      </c>
      <c r="F391" t="s">
        <v>113</v>
      </c>
      <c r="G391" t="s">
        <v>107</v>
      </c>
      <c r="H391" t="s">
        <v>123</v>
      </c>
      <c r="I391" t="str">
        <f>_xlfn.IFNA(VLOOKUP(C391,merchants!$A$2:$D$41,2,FALSE),"Merchant not found")</f>
        <v>Merchant_026</v>
      </c>
      <c r="J391" t="str">
        <f>_xlfn.IFNA(VLOOKUP(C391,merchants!$A$2:$D$41,3,FALSE),"Merchant not found")</f>
        <v>food_delivery</v>
      </c>
      <c r="K391" t="str">
        <f>_xlfn.IFNA(VLOOKUP(C391,merchants!$A$2:$D$41,4,FALSE),"Merchant not found")</f>
        <v>East</v>
      </c>
      <c r="L391">
        <f t="shared" si="18"/>
        <v>46051</v>
      </c>
      <c r="M391">
        <f t="shared" si="19"/>
        <v>0</v>
      </c>
      <c r="N391" t="str">
        <f t="shared" si="20"/>
        <v>Standard</v>
      </c>
      <c r="O391">
        <f>HLOOKUP(F391,fee_lookup!$B$1:$E$2,2,FALSE)</f>
        <v>2E-3</v>
      </c>
    </row>
    <row r="392" spans="1:15" x14ac:dyDescent="0.3">
      <c r="A392" t="s">
        <v>1122</v>
      </c>
      <c r="B392" t="s">
        <v>227</v>
      </c>
      <c r="C392" t="s">
        <v>12</v>
      </c>
      <c r="D392" t="s">
        <v>1123</v>
      </c>
      <c r="E392" t="s">
        <v>274</v>
      </c>
      <c r="F392" t="s">
        <v>106</v>
      </c>
      <c r="G392" t="s">
        <v>107</v>
      </c>
      <c r="H392" t="s">
        <v>4</v>
      </c>
      <c r="I392" t="str">
        <f>_xlfn.IFNA(VLOOKUP(C392,merchants!$A$2:$D$41,2,FALSE),"Merchant not found")</f>
        <v>Merchant_003</v>
      </c>
      <c r="J392" t="str">
        <f>_xlfn.IFNA(VLOOKUP(C392,merchants!$A$2:$D$41,3,FALSE),"Merchant not found")</f>
        <v>grocery</v>
      </c>
      <c r="K392" t="str">
        <f>_xlfn.IFNA(VLOOKUP(C392,merchants!$A$2:$D$41,4,FALSE),"Merchant not found")</f>
        <v>East</v>
      </c>
      <c r="L392">
        <f t="shared" si="18"/>
        <v>46038</v>
      </c>
      <c r="M392">
        <f t="shared" si="19"/>
        <v>0</v>
      </c>
      <c r="N392" t="str">
        <f t="shared" si="20"/>
        <v>Standard</v>
      </c>
      <c r="O392">
        <f>HLOOKUP(F392,fee_lookup!$B$1:$E$2,2,FALSE)</f>
        <v>0.01</v>
      </c>
    </row>
    <row r="393" spans="1:15" x14ac:dyDescent="0.3">
      <c r="A393" t="s">
        <v>1124</v>
      </c>
      <c r="B393" t="s">
        <v>187</v>
      </c>
      <c r="C393" t="s">
        <v>56</v>
      </c>
      <c r="D393" t="s">
        <v>1125</v>
      </c>
      <c r="E393" t="s">
        <v>220</v>
      </c>
      <c r="F393" t="s">
        <v>113</v>
      </c>
      <c r="G393" t="s">
        <v>107</v>
      </c>
      <c r="H393" t="s">
        <v>84</v>
      </c>
      <c r="I393" t="str">
        <f>_xlfn.IFNA(VLOOKUP(C393,merchants!$A$2:$D$41,2,FALSE),"Merchant not found")</f>
        <v>Merchant_022</v>
      </c>
      <c r="J393" t="str">
        <f>_xlfn.IFNA(VLOOKUP(C393,merchants!$A$2:$D$41,3,FALSE),"Merchant not found")</f>
        <v>travel</v>
      </c>
      <c r="K393" t="str">
        <f>_xlfn.IFNA(VLOOKUP(C393,merchants!$A$2:$D$41,4,FALSE),"Merchant not found")</f>
        <v>South</v>
      </c>
      <c r="L393">
        <f t="shared" si="18"/>
        <v>46032</v>
      </c>
      <c r="M393">
        <f t="shared" si="19"/>
        <v>0</v>
      </c>
      <c r="N393" t="str">
        <f t="shared" si="20"/>
        <v>Standard</v>
      </c>
      <c r="O393">
        <f>HLOOKUP(F393,fee_lookup!$B$1:$E$2,2,FALSE)</f>
        <v>2E-3</v>
      </c>
    </row>
    <row r="394" spans="1:15" x14ac:dyDescent="0.3">
      <c r="A394" t="s">
        <v>1126</v>
      </c>
      <c r="B394" t="s">
        <v>791</v>
      </c>
      <c r="C394" t="s">
        <v>76</v>
      </c>
      <c r="D394" t="s">
        <v>1127</v>
      </c>
      <c r="E394" t="s">
        <v>112</v>
      </c>
      <c r="F394" t="s">
        <v>154</v>
      </c>
      <c r="G394" t="s">
        <v>107</v>
      </c>
      <c r="H394" t="s">
        <v>46</v>
      </c>
      <c r="I394" t="str">
        <f>_xlfn.IFNA(VLOOKUP(C394,merchants!$A$2:$D$41,2,FALSE),"Merchant not found")</f>
        <v>Merchant_032</v>
      </c>
      <c r="J394" t="str">
        <f>_xlfn.IFNA(VLOOKUP(C394,merchants!$A$2:$D$41,3,FALSE),"Merchant not found")</f>
        <v>food_delivery</v>
      </c>
      <c r="K394" t="str">
        <f>_xlfn.IFNA(VLOOKUP(C394,merchants!$A$2:$D$41,4,FALSE),"Merchant not found")</f>
        <v>West</v>
      </c>
      <c r="L394">
        <f t="shared" si="18"/>
        <v>46037</v>
      </c>
      <c r="M394">
        <f t="shared" si="19"/>
        <v>0</v>
      </c>
      <c r="N394" t="str">
        <f t="shared" si="20"/>
        <v>Standard</v>
      </c>
      <c r="O394">
        <f>HLOOKUP(F394,fee_lookup!$B$1:$E$2,2,FALSE)</f>
        <v>1.7999999999999999E-2</v>
      </c>
    </row>
    <row r="395" spans="1:15" x14ac:dyDescent="0.3">
      <c r="A395" t="s">
        <v>1128</v>
      </c>
      <c r="B395" t="s">
        <v>718</v>
      </c>
      <c r="C395" t="s">
        <v>36</v>
      </c>
      <c r="D395" t="s">
        <v>1129</v>
      </c>
      <c r="E395" t="s">
        <v>105</v>
      </c>
      <c r="F395" t="s">
        <v>113</v>
      </c>
      <c r="G395" t="s">
        <v>107</v>
      </c>
      <c r="H395" t="s">
        <v>39</v>
      </c>
      <c r="I395" t="str">
        <f>_xlfn.IFNA(VLOOKUP(C395,merchants!$A$2:$D$41,2,FALSE),"Merchant not found")</f>
        <v>Merchant_013</v>
      </c>
      <c r="J395" t="str">
        <f>_xlfn.IFNA(VLOOKUP(C395,merchants!$A$2:$D$41,3,FALSE),"Merchant not found")</f>
        <v>travel</v>
      </c>
      <c r="K395" t="str">
        <f>_xlfn.IFNA(VLOOKUP(C395,merchants!$A$2:$D$41,4,FALSE),"Merchant not found")</f>
        <v>East</v>
      </c>
      <c r="L395">
        <f t="shared" si="18"/>
        <v>46050</v>
      </c>
      <c r="M395">
        <f t="shared" si="19"/>
        <v>0</v>
      </c>
      <c r="N395" t="str">
        <f t="shared" si="20"/>
        <v>Standard</v>
      </c>
      <c r="O395">
        <f>HLOOKUP(F395,fee_lookup!$B$1:$E$2,2,FALSE)</f>
        <v>2E-3</v>
      </c>
    </row>
    <row r="396" spans="1:15" x14ac:dyDescent="0.3">
      <c r="A396" t="s">
        <v>1130</v>
      </c>
      <c r="B396" t="s">
        <v>901</v>
      </c>
      <c r="C396" t="s">
        <v>46</v>
      </c>
      <c r="D396" t="s">
        <v>1131</v>
      </c>
      <c r="E396" t="s">
        <v>105</v>
      </c>
      <c r="F396" t="s">
        <v>113</v>
      </c>
      <c r="G396" t="s">
        <v>107</v>
      </c>
      <c r="H396" t="s">
        <v>762</v>
      </c>
      <c r="I396" t="str">
        <f>_xlfn.IFNA(VLOOKUP(C396,merchants!$A$2:$D$41,2,FALSE),"Merchant not found")</f>
        <v>Merchant_017</v>
      </c>
      <c r="J396" t="str">
        <f>_xlfn.IFNA(VLOOKUP(C396,merchants!$A$2:$D$41,3,FALSE),"Merchant not found")</f>
        <v>grocery</v>
      </c>
      <c r="K396" t="str">
        <f>_xlfn.IFNA(VLOOKUP(C396,merchants!$A$2:$D$41,4,FALSE),"Merchant not found")</f>
        <v>North</v>
      </c>
      <c r="L396">
        <f t="shared" si="18"/>
        <v>46033</v>
      </c>
      <c r="M396">
        <f t="shared" si="19"/>
        <v>0</v>
      </c>
      <c r="N396" t="str">
        <f t="shared" si="20"/>
        <v>Standard</v>
      </c>
      <c r="O396">
        <f>HLOOKUP(F396,fee_lookup!$B$1:$E$2,2,FALSE)</f>
        <v>2E-3</v>
      </c>
    </row>
    <row r="397" spans="1:15" x14ac:dyDescent="0.3">
      <c r="A397" t="s">
        <v>1132</v>
      </c>
      <c r="B397" t="s">
        <v>1133</v>
      </c>
      <c r="C397" t="s">
        <v>50</v>
      </c>
      <c r="D397" t="s">
        <v>1134</v>
      </c>
      <c r="E397" t="s">
        <v>220</v>
      </c>
      <c r="F397" t="s">
        <v>113</v>
      </c>
      <c r="G397" t="s">
        <v>155</v>
      </c>
      <c r="H397" t="s">
        <v>301</v>
      </c>
      <c r="I397" t="str">
        <f>_xlfn.IFNA(VLOOKUP(C397,merchants!$A$2:$D$41,2,FALSE),"Merchant not found")</f>
        <v>Merchant_019</v>
      </c>
      <c r="J397" t="str">
        <f>_xlfn.IFNA(VLOOKUP(C397,merchants!$A$2:$D$41,3,FALSE),"Merchant not found")</f>
        <v>grocery</v>
      </c>
      <c r="K397" t="str">
        <f>_xlfn.IFNA(VLOOKUP(C397,merchants!$A$2:$D$41,4,FALSE),"Merchant not found")</f>
        <v>North</v>
      </c>
      <c r="L397">
        <f t="shared" si="18"/>
        <v>46028</v>
      </c>
      <c r="M397">
        <f t="shared" si="19"/>
        <v>0</v>
      </c>
      <c r="N397" t="str">
        <f t="shared" si="20"/>
        <v>Standard</v>
      </c>
      <c r="O397">
        <f>HLOOKUP(F397,fee_lookup!$B$1:$E$2,2,FALSE)</f>
        <v>2E-3</v>
      </c>
    </row>
    <row r="398" spans="1:15" x14ac:dyDescent="0.3">
      <c r="A398" t="s">
        <v>1135</v>
      </c>
      <c r="B398" t="s">
        <v>830</v>
      </c>
      <c r="C398" t="s">
        <v>64</v>
      </c>
      <c r="D398" t="s">
        <v>1136</v>
      </c>
      <c r="E398" t="s">
        <v>220</v>
      </c>
      <c r="F398" t="s">
        <v>113</v>
      </c>
      <c r="G398" t="s">
        <v>107</v>
      </c>
      <c r="H398" t="s">
        <v>688</v>
      </c>
      <c r="I398" t="str">
        <f>_xlfn.IFNA(VLOOKUP(C398,merchants!$A$2:$D$41,2,FALSE),"Merchant not found")</f>
        <v>Merchant_026</v>
      </c>
      <c r="J398" t="str">
        <f>_xlfn.IFNA(VLOOKUP(C398,merchants!$A$2:$D$41,3,FALSE),"Merchant not found")</f>
        <v>food_delivery</v>
      </c>
      <c r="K398" t="str">
        <f>_xlfn.IFNA(VLOOKUP(C398,merchants!$A$2:$D$41,4,FALSE),"Merchant not found")</f>
        <v>East</v>
      </c>
      <c r="L398">
        <f t="shared" si="18"/>
        <v>46044</v>
      </c>
      <c r="M398">
        <f t="shared" si="19"/>
        <v>0</v>
      </c>
      <c r="N398" t="str">
        <f t="shared" si="20"/>
        <v>Standard</v>
      </c>
      <c r="O398">
        <f>HLOOKUP(F398,fee_lookup!$B$1:$E$2,2,FALSE)</f>
        <v>2E-3</v>
      </c>
    </row>
    <row r="399" spans="1:15" x14ac:dyDescent="0.3">
      <c r="A399" t="s">
        <v>1137</v>
      </c>
      <c r="B399" t="s">
        <v>1138</v>
      </c>
      <c r="C399" t="s">
        <v>23</v>
      </c>
      <c r="D399" t="s">
        <v>1139</v>
      </c>
      <c r="E399" t="s">
        <v>227</v>
      </c>
      <c r="F399" t="s">
        <v>106</v>
      </c>
      <c r="G399" t="s">
        <v>107</v>
      </c>
      <c r="H399" t="s">
        <v>58</v>
      </c>
      <c r="I399" t="str">
        <f>_xlfn.IFNA(VLOOKUP(C399,merchants!$A$2:$D$41,2,FALSE),"Merchant not found")</f>
        <v>Merchant_007</v>
      </c>
      <c r="J399" t="str">
        <f>_xlfn.IFNA(VLOOKUP(C399,merchants!$A$2:$D$41,3,FALSE),"Merchant not found")</f>
        <v>food_delivery</v>
      </c>
      <c r="K399" t="str">
        <f>_xlfn.IFNA(VLOOKUP(C399,merchants!$A$2:$D$41,4,FALSE),"Merchant not found")</f>
        <v>East</v>
      </c>
      <c r="L399">
        <f t="shared" si="18"/>
        <v>46039</v>
      </c>
      <c r="M399">
        <f t="shared" si="19"/>
        <v>0</v>
      </c>
      <c r="N399" t="str">
        <f t="shared" si="20"/>
        <v>Standard</v>
      </c>
      <c r="O399">
        <f>HLOOKUP(F399,fee_lookup!$B$1:$E$2,2,FALSE)</f>
        <v>0.01</v>
      </c>
    </row>
    <row r="400" spans="1:15" x14ac:dyDescent="0.3">
      <c r="A400" t="s">
        <v>1140</v>
      </c>
      <c r="B400" t="s">
        <v>1141</v>
      </c>
      <c r="C400" t="s">
        <v>4</v>
      </c>
      <c r="D400" t="s">
        <v>1142</v>
      </c>
      <c r="E400" t="s">
        <v>118</v>
      </c>
      <c r="F400" t="s">
        <v>122</v>
      </c>
      <c r="G400" t="s">
        <v>107</v>
      </c>
      <c r="H400" t="s">
        <v>78</v>
      </c>
      <c r="I400" t="str">
        <f>_xlfn.IFNA(VLOOKUP(C400,merchants!$A$2:$D$41,2,FALSE),"Merchant not found")</f>
        <v>Merchant_001</v>
      </c>
      <c r="J400" t="str">
        <f>_xlfn.IFNA(VLOOKUP(C400,merchants!$A$2:$D$41,3,FALSE),"Merchant not found")</f>
        <v>ecommerce</v>
      </c>
      <c r="K400" t="str">
        <f>_xlfn.IFNA(VLOOKUP(C400,merchants!$A$2:$D$41,4,FALSE),"Merchant not found")</f>
        <v>South</v>
      </c>
      <c r="L400">
        <f t="shared" si="18"/>
        <v>46027</v>
      </c>
      <c r="M400">
        <f t="shared" si="19"/>
        <v>0</v>
      </c>
      <c r="N400" t="str">
        <f t="shared" si="20"/>
        <v>Standard</v>
      </c>
      <c r="O400">
        <f>HLOOKUP(F400,fee_lookup!$B$1:$E$2,2,FALSE)</f>
        <v>1.2E-2</v>
      </c>
    </row>
    <row r="401" spans="1:15" x14ac:dyDescent="0.3">
      <c r="A401" t="s">
        <v>1143</v>
      </c>
      <c r="B401" t="s">
        <v>429</v>
      </c>
      <c r="C401" t="s">
        <v>56</v>
      </c>
      <c r="D401" t="s">
        <v>1144</v>
      </c>
      <c r="E401" t="s">
        <v>140</v>
      </c>
      <c r="F401" t="s">
        <v>113</v>
      </c>
      <c r="G401" t="s">
        <v>155</v>
      </c>
      <c r="H401" t="s">
        <v>89</v>
      </c>
      <c r="I401" t="str">
        <f>_xlfn.IFNA(VLOOKUP(C401,merchants!$A$2:$D$41,2,FALSE),"Merchant not found")</f>
        <v>Merchant_022</v>
      </c>
      <c r="J401" t="str">
        <f>_xlfn.IFNA(VLOOKUP(C401,merchants!$A$2:$D$41,3,FALSE),"Merchant not found")</f>
        <v>travel</v>
      </c>
      <c r="K401" t="str">
        <f>_xlfn.IFNA(VLOOKUP(C401,merchants!$A$2:$D$41,4,FALSE),"Merchant not found")</f>
        <v>South</v>
      </c>
      <c r="L401">
        <f t="shared" si="18"/>
        <v>46035</v>
      </c>
      <c r="M401">
        <f t="shared" si="19"/>
        <v>0</v>
      </c>
      <c r="N401" t="str">
        <f t="shared" si="20"/>
        <v>Standard</v>
      </c>
      <c r="O401">
        <f>HLOOKUP(F401,fee_lookup!$B$1:$E$2,2,FALSE)</f>
        <v>2E-3</v>
      </c>
    </row>
    <row r="402" spans="1:15" x14ac:dyDescent="0.3">
      <c r="A402" t="s">
        <v>1145</v>
      </c>
      <c r="B402" t="s">
        <v>20</v>
      </c>
      <c r="C402" t="s">
        <v>46</v>
      </c>
      <c r="D402" t="s">
        <v>1146</v>
      </c>
      <c r="E402" t="s">
        <v>112</v>
      </c>
      <c r="F402" t="s">
        <v>113</v>
      </c>
      <c r="G402" t="s">
        <v>107</v>
      </c>
      <c r="H402" t="s">
        <v>519</v>
      </c>
      <c r="I402" t="str">
        <f>_xlfn.IFNA(VLOOKUP(C402,merchants!$A$2:$D$41,2,FALSE),"Merchant not found")</f>
        <v>Merchant_017</v>
      </c>
      <c r="J402" t="str">
        <f>_xlfn.IFNA(VLOOKUP(C402,merchants!$A$2:$D$41,3,FALSE),"Merchant not found")</f>
        <v>grocery</v>
      </c>
      <c r="K402" t="str">
        <f>_xlfn.IFNA(VLOOKUP(C402,merchants!$A$2:$D$41,4,FALSE),"Merchant not found")</f>
        <v>North</v>
      </c>
      <c r="L402">
        <f t="shared" si="18"/>
        <v>46041</v>
      </c>
      <c r="M402">
        <f t="shared" si="19"/>
        <v>0</v>
      </c>
      <c r="N402" t="str">
        <f t="shared" si="20"/>
        <v>Standard</v>
      </c>
      <c r="O402">
        <f>HLOOKUP(F402,fee_lookup!$B$1:$E$2,2,FALSE)</f>
        <v>2E-3</v>
      </c>
    </row>
    <row r="403" spans="1:15" x14ac:dyDescent="0.3">
      <c r="A403" t="s">
        <v>1147</v>
      </c>
      <c r="B403" t="s">
        <v>76</v>
      </c>
      <c r="C403" t="s">
        <v>25</v>
      </c>
      <c r="D403" t="s">
        <v>1148</v>
      </c>
      <c r="E403" t="s">
        <v>145</v>
      </c>
      <c r="F403" t="s">
        <v>154</v>
      </c>
      <c r="G403" t="s">
        <v>107</v>
      </c>
      <c r="H403" t="s">
        <v>191</v>
      </c>
      <c r="I403" t="str">
        <f>_xlfn.IFNA(VLOOKUP(C403,merchants!$A$2:$D$41,2,FALSE),"Merchant not found")</f>
        <v>Merchant_008</v>
      </c>
      <c r="J403" t="str">
        <f>_xlfn.IFNA(VLOOKUP(C403,merchants!$A$2:$D$41,3,FALSE),"Merchant not found")</f>
        <v>food_delivery</v>
      </c>
      <c r="K403" t="str">
        <f>_xlfn.IFNA(VLOOKUP(C403,merchants!$A$2:$D$41,4,FALSE),"Merchant not found")</f>
        <v>North</v>
      </c>
      <c r="L403">
        <f t="shared" si="18"/>
        <v>46034</v>
      </c>
      <c r="M403">
        <f t="shared" si="19"/>
        <v>0</v>
      </c>
      <c r="N403" t="str">
        <f t="shared" si="20"/>
        <v>Standard</v>
      </c>
      <c r="O403">
        <f>HLOOKUP(F403,fee_lookup!$B$1:$E$2,2,FALSE)</f>
        <v>1.7999999999999999E-2</v>
      </c>
    </row>
    <row r="404" spans="1:15" x14ac:dyDescent="0.3">
      <c r="A404" t="s">
        <v>1149</v>
      </c>
      <c r="B404" t="s">
        <v>648</v>
      </c>
      <c r="C404" t="s">
        <v>52</v>
      </c>
      <c r="D404" t="s">
        <v>1150</v>
      </c>
      <c r="E404" t="s">
        <v>227</v>
      </c>
      <c r="F404" t="s">
        <v>113</v>
      </c>
      <c r="G404" t="s">
        <v>107</v>
      </c>
      <c r="H404" t="s">
        <v>556</v>
      </c>
      <c r="I404" t="str">
        <f>_xlfn.IFNA(VLOOKUP(C404,merchants!$A$2:$D$41,2,FALSE),"Merchant not found")</f>
        <v>Merchant_020</v>
      </c>
      <c r="J404" t="str">
        <f>_xlfn.IFNA(VLOOKUP(C404,merchants!$A$2:$D$41,3,FALSE),"Merchant not found")</f>
        <v>food_delivery</v>
      </c>
      <c r="K404" t="str">
        <f>_xlfn.IFNA(VLOOKUP(C404,merchants!$A$2:$D$41,4,FALSE),"Merchant not found")</f>
        <v>East</v>
      </c>
      <c r="L404">
        <f t="shared" si="18"/>
        <v>46032</v>
      </c>
      <c r="M404">
        <f t="shared" si="19"/>
        <v>0</v>
      </c>
      <c r="N404" t="str">
        <f t="shared" si="20"/>
        <v>Standard</v>
      </c>
      <c r="O404">
        <f>HLOOKUP(F404,fee_lookup!$B$1:$E$2,2,FALSE)</f>
        <v>2E-3</v>
      </c>
    </row>
    <row r="405" spans="1:15" x14ac:dyDescent="0.3">
      <c r="A405" t="s">
        <v>1151</v>
      </c>
      <c r="B405" t="s">
        <v>563</v>
      </c>
      <c r="C405" t="s">
        <v>60</v>
      </c>
      <c r="D405" t="s">
        <v>1152</v>
      </c>
      <c r="E405" t="s">
        <v>227</v>
      </c>
      <c r="F405" t="s">
        <v>113</v>
      </c>
      <c r="G405" t="s">
        <v>198</v>
      </c>
      <c r="H405" t="s">
        <v>208</v>
      </c>
      <c r="I405" t="str">
        <f>_xlfn.IFNA(VLOOKUP(C405,merchants!$A$2:$D$41,2,FALSE),"Merchant not found")</f>
        <v>Merchant_024</v>
      </c>
      <c r="J405" t="str">
        <f>_xlfn.IFNA(VLOOKUP(C405,merchants!$A$2:$D$41,3,FALSE),"Merchant not found")</f>
        <v>grocery</v>
      </c>
      <c r="K405" t="str">
        <f>_xlfn.IFNA(VLOOKUP(C405,merchants!$A$2:$D$41,4,FALSE),"Merchant not found")</f>
        <v>North</v>
      </c>
      <c r="L405">
        <f t="shared" si="18"/>
        <v>46026</v>
      </c>
      <c r="M405">
        <f t="shared" si="19"/>
        <v>0</v>
      </c>
      <c r="N405" t="str">
        <f t="shared" si="20"/>
        <v>Standard</v>
      </c>
      <c r="O405">
        <f>HLOOKUP(F405,fee_lookup!$B$1:$E$2,2,FALSE)</f>
        <v>2E-3</v>
      </c>
    </row>
    <row r="406" spans="1:15" x14ac:dyDescent="0.3">
      <c r="A406" t="s">
        <v>1153</v>
      </c>
      <c r="B406" t="s">
        <v>393</v>
      </c>
      <c r="C406" t="s">
        <v>30</v>
      </c>
      <c r="D406" t="s">
        <v>1154</v>
      </c>
      <c r="E406" t="s">
        <v>140</v>
      </c>
      <c r="F406" t="s">
        <v>106</v>
      </c>
      <c r="G406" t="s">
        <v>107</v>
      </c>
      <c r="H406" t="s">
        <v>463</v>
      </c>
      <c r="I406" t="str">
        <f>_xlfn.IFNA(VLOOKUP(C406,merchants!$A$2:$D$41,2,FALSE),"Merchant not found")</f>
        <v>Merchant_010</v>
      </c>
      <c r="J406" t="str">
        <f>_xlfn.IFNA(VLOOKUP(C406,merchants!$A$2:$D$41,3,FALSE),"Merchant not found")</f>
        <v>grocery</v>
      </c>
      <c r="K406" t="str">
        <f>_xlfn.IFNA(VLOOKUP(C406,merchants!$A$2:$D$41,4,FALSE),"Merchant not found")</f>
        <v>West</v>
      </c>
      <c r="L406">
        <f t="shared" si="18"/>
        <v>46030</v>
      </c>
      <c r="M406">
        <f t="shared" si="19"/>
        <v>0</v>
      </c>
      <c r="N406" t="str">
        <f t="shared" si="20"/>
        <v>Standard</v>
      </c>
      <c r="O406">
        <f>HLOOKUP(F406,fee_lookup!$B$1:$E$2,2,FALSE)</f>
        <v>0.01</v>
      </c>
    </row>
    <row r="407" spans="1:15" x14ac:dyDescent="0.3">
      <c r="A407" t="s">
        <v>1155</v>
      </c>
      <c r="B407" t="s">
        <v>210</v>
      </c>
      <c r="C407" t="s">
        <v>84</v>
      </c>
      <c r="D407" t="s">
        <v>1156</v>
      </c>
      <c r="E407" t="s">
        <v>112</v>
      </c>
      <c r="F407" t="s">
        <v>106</v>
      </c>
      <c r="G407" t="s">
        <v>107</v>
      </c>
      <c r="H407" t="s">
        <v>131</v>
      </c>
      <c r="I407" t="str">
        <f>_xlfn.IFNA(VLOOKUP(C407,merchants!$A$2:$D$41,2,FALSE),"Merchant not found")</f>
        <v>Merchant_036</v>
      </c>
      <c r="J407" t="str">
        <f>_xlfn.IFNA(VLOOKUP(C407,merchants!$A$2:$D$41,3,FALSE),"Merchant not found")</f>
        <v>entertainment</v>
      </c>
      <c r="K407" t="str">
        <f>_xlfn.IFNA(VLOOKUP(C407,merchants!$A$2:$D$41,4,FALSE),"Merchant not found")</f>
        <v>East</v>
      </c>
      <c r="L407">
        <f t="shared" si="18"/>
        <v>46046</v>
      </c>
      <c r="M407">
        <f t="shared" si="19"/>
        <v>0</v>
      </c>
      <c r="N407" t="str">
        <f t="shared" si="20"/>
        <v>Standard</v>
      </c>
      <c r="O407">
        <f>HLOOKUP(F407,fee_lookup!$B$1:$E$2,2,FALSE)</f>
        <v>0.01</v>
      </c>
    </row>
    <row r="408" spans="1:15" x14ac:dyDescent="0.3">
      <c r="A408" t="s">
        <v>1157</v>
      </c>
      <c r="B408" t="s">
        <v>178</v>
      </c>
      <c r="C408" t="s">
        <v>39</v>
      </c>
      <c r="D408" t="s">
        <v>1158</v>
      </c>
      <c r="E408" t="s">
        <v>127</v>
      </c>
      <c r="F408" t="s">
        <v>122</v>
      </c>
      <c r="G408" t="s">
        <v>107</v>
      </c>
      <c r="H408" t="s">
        <v>506</v>
      </c>
      <c r="I408" t="str">
        <f>_xlfn.IFNA(VLOOKUP(C408,merchants!$A$2:$D$41,2,FALSE),"Merchant not found")</f>
        <v>Merchant_014</v>
      </c>
      <c r="J408" t="str">
        <f>_xlfn.IFNA(VLOOKUP(C408,merchants!$A$2:$D$41,3,FALSE),"Merchant not found")</f>
        <v>grocery</v>
      </c>
      <c r="K408" t="str">
        <f>_xlfn.IFNA(VLOOKUP(C408,merchants!$A$2:$D$41,4,FALSE),"Merchant not found")</f>
        <v>East</v>
      </c>
      <c r="L408">
        <f t="shared" si="18"/>
        <v>46047</v>
      </c>
      <c r="M408">
        <f t="shared" si="19"/>
        <v>0</v>
      </c>
      <c r="N408" t="str">
        <f t="shared" si="20"/>
        <v>Standard</v>
      </c>
      <c r="O408">
        <f>HLOOKUP(F408,fee_lookup!$B$1:$E$2,2,FALSE)</f>
        <v>1.2E-2</v>
      </c>
    </row>
    <row r="409" spans="1:15" x14ac:dyDescent="0.3">
      <c r="A409" t="s">
        <v>1159</v>
      </c>
      <c r="B409" t="s">
        <v>152</v>
      </c>
      <c r="C409" t="s">
        <v>20</v>
      </c>
      <c r="D409" t="s">
        <v>1160</v>
      </c>
      <c r="E409" t="s">
        <v>227</v>
      </c>
      <c r="F409" t="s">
        <v>122</v>
      </c>
      <c r="G409" t="s">
        <v>107</v>
      </c>
      <c r="H409" t="s">
        <v>679</v>
      </c>
      <c r="I409" t="str">
        <f>_xlfn.IFNA(VLOOKUP(C409,merchants!$A$2:$D$41,2,FALSE),"Merchant not found")</f>
        <v>Merchant_006</v>
      </c>
      <c r="J409" t="str">
        <f>_xlfn.IFNA(VLOOKUP(C409,merchants!$A$2:$D$41,3,FALSE),"Merchant not found")</f>
        <v>food_delivery</v>
      </c>
      <c r="K409" t="str">
        <f>_xlfn.IFNA(VLOOKUP(C409,merchants!$A$2:$D$41,4,FALSE),"Merchant not found")</f>
        <v>South</v>
      </c>
      <c r="L409">
        <f t="shared" si="18"/>
        <v>46030</v>
      </c>
      <c r="M409">
        <f t="shared" si="19"/>
        <v>0</v>
      </c>
      <c r="N409" t="str">
        <f t="shared" si="20"/>
        <v>Standard</v>
      </c>
      <c r="O409">
        <f>HLOOKUP(F409,fee_lookup!$B$1:$E$2,2,FALSE)</f>
        <v>1.2E-2</v>
      </c>
    </row>
    <row r="410" spans="1:15" x14ac:dyDescent="0.3">
      <c r="A410" t="s">
        <v>1161</v>
      </c>
      <c r="B410" t="s">
        <v>619</v>
      </c>
      <c r="C410" t="s">
        <v>17</v>
      </c>
      <c r="D410" t="s">
        <v>1162</v>
      </c>
      <c r="E410" t="s">
        <v>220</v>
      </c>
      <c r="F410" t="s">
        <v>113</v>
      </c>
      <c r="G410" t="s">
        <v>107</v>
      </c>
      <c r="H410" t="s">
        <v>301</v>
      </c>
      <c r="I410" t="str">
        <f>_xlfn.IFNA(VLOOKUP(C410,merchants!$A$2:$D$41,2,FALSE),"Merchant not found")</f>
        <v>Merchant_005</v>
      </c>
      <c r="J410" t="str">
        <f>_xlfn.IFNA(VLOOKUP(C410,merchants!$A$2:$D$41,3,FALSE),"Merchant not found")</f>
        <v>recharge</v>
      </c>
      <c r="K410" t="str">
        <f>_xlfn.IFNA(VLOOKUP(C410,merchants!$A$2:$D$41,4,FALSE),"Merchant not found")</f>
        <v>South</v>
      </c>
      <c r="L410">
        <f t="shared" si="18"/>
        <v>46037</v>
      </c>
      <c r="M410">
        <f t="shared" si="19"/>
        <v>0</v>
      </c>
      <c r="N410" t="str">
        <f t="shared" si="20"/>
        <v>Standard</v>
      </c>
      <c r="O410">
        <f>HLOOKUP(F410,fee_lookup!$B$1:$E$2,2,FALSE)</f>
        <v>2E-3</v>
      </c>
    </row>
    <row r="411" spans="1:15" x14ac:dyDescent="0.3">
      <c r="A411" t="s">
        <v>1163</v>
      </c>
      <c r="B411" t="s">
        <v>1164</v>
      </c>
      <c r="C411" t="s">
        <v>78</v>
      </c>
      <c r="D411" t="s">
        <v>1165</v>
      </c>
      <c r="E411" t="s">
        <v>274</v>
      </c>
      <c r="F411" t="s">
        <v>113</v>
      </c>
      <c r="G411" t="s">
        <v>107</v>
      </c>
      <c r="H411" t="s">
        <v>62</v>
      </c>
      <c r="I411" t="str">
        <f>_xlfn.IFNA(VLOOKUP(C411,merchants!$A$2:$D$41,2,FALSE),"Merchant not found")</f>
        <v>Merchant_033</v>
      </c>
      <c r="J411" t="str">
        <f>_xlfn.IFNA(VLOOKUP(C411,merchants!$A$2:$D$41,3,FALSE),"Merchant not found")</f>
        <v>bill_payment</v>
      </c>
      <c r="K411" t="str">
        <f>_xlfn.IFNA(VLOOKUP(C411,merchants!$A$2:$D$41,4,FALSE),"Merchant not found")</f>
        <v>East</v>
      </c>
      <c r="L411">
        <f t="shared" si="18"/>
        <v>46026</v>
      </c>
      <c r="M411">
        <f t="shared" si="19"/>
        <v>0</v>
      </c>
      <c r="N411" t="str">
        <f t="shared" si="20"/>
        <v>Standard</v>
      </c>
      <c r="O411">
        <f>HLOOKUP(F411,fee_lookup!$B$1:$E$2,2,FALSE)</f>
        <v>2E-3</v>
      </c>
    </row>
    <row r="412" spans="1:15" x14ac:dyDescent="0.3">
      <c r="A412" t="s">
        <v>1166</v>
      </c>
      <c r="B412" t="s">
        <v>108</v>
      </c>
      <c r="C412" t="s">
        <v>54</v>
      </c>
      <c r="D412" t="s">
        <v>1167</v>
      </c>
      <c r="E412" t="s">
        <v>127</v>
      </c>
      <c r="F412" t="s">
        <v>113</v>
      </c>
      <c r="G412" t="s">
        <v>107</v>
      </c>
      <c r="H412" t="s">
        <v>811</v>
      </c>
      <c r="I412" t="str">
        <f>_xlfn.IFNA(VLOOKUP(C412,merchants!$A$2:$D$41,2,FALSE),"Merchant not found")</f>
        <v>Merchant_021</v>
      </c>
      <c r="J412" t="str">
        <f>_xlfn.IFNA(VLOOKUP(C412,merchants!$A$2:$D$41,3,FALSE),"Merchant not found")</f>
        <v>food_delivery</v>
      </c>
      <c r="K412" t="str">
        <f>_xlfn.IFNA(VLOOKUP(C412,merchants!$A$2:$D$41,4,FALSE),"Merchant not found")</f>
        <v>East</v>
      </c>
      <c r="L412">
        <f t="shared" si="18"/>
        <v>46041</v>
      </c>
      <c r="M412">
        <f t="shared" si="19"/>
        <v>0</v>
      </c>
      <c r="N412" t="str">
        <f t="shared" si="20"/>
        <v>Standard</v>
      </c>
      <c r="O412">
        <f>HLOOKUP(F412,fee_lookup!$B$1:$E$2,2,FALSE)</f>
        <v>2E-3</v>
      </c>
    </row>
    <row r="413" spans="1:15" x14ac:dyDescent="0.3">
      <c r="A413" t="s">
        <v>1168</v>
      </c>
      <c r="B413" t="s">
        <v>1169</v>
      </c>
      <c r="C413" t="s">
        <v>89</v>
      </c>
      <c r="D413" t="s">
        <v>1170</v>
      </c>
      <c r="E413" t="s">
        <v>220</v>
      </c>
      <c r="F413" t="s">
        <v>113</v>
      </c>
      <c r="G413" t="s">
        <v>107</v>
      </c>
      <c r="H413" t="s">
        <v>267</v>
      </c>
      <c r="I413" t="str">
        <f>_xlfn.IFNA(VLOOKUP(C413,merchants!$A$2:$D$41,2,FALSE),"Merchant not found")</f>
        <v>Merchant_038</v>
      </c>
      <c r="J413" t="str">
        <f>_xlfn.IFNA(VLOOKUP(C413,merchants!$A$2:$D$41,3,FALSE),"Merchant not found")</f>
        <v>grocery</v>
      </c>
      <c r="K413" t="str">
        <f>_xlfn.IFNA(VLOOKUP(C413,merchants!$A$2:$D$41,4,FALSE),"Merchant not found")</f>
        <v>East</v>
      </c>
      <c r="L413">
        <f t="shared" si="18"/>
        <v>46037</v>
      </c>
      <c r="M413">
        <f t="shared" si="19"/>
        <v>0</v>
      </c>
      <c r="N413" t="str">
        <f t="shared" si="20"/>
        <v>Standard</v>
      </c>
      <c r="O413">
        <f>HLOOKUP(F413,fee_lookup!$B$1:$E$2,2,FALSE)</f>
        <v>2E-3</v>
      </c>
    </row>
    <row r="414" spans="1:15" x14ac:dyDescent="0.3">
      <c r="A414" t="s">
        <v>1171</v>
      </c>
      <c r="B414" t="s">
        <v>70</v>
      </c>
      <c r="C414" t="s">
        <v>72</v>
      </c>
      <c r="D414" t="s">
        <v>1172</v>
      </c>
      <c r="E414" t="s">
        <v>227</v>
      </c>
      <c r="F414" t="s">
        <v>122</v>
      </c>
      <c r="G414" t="s">
        <v>107</v>
      </c>
      <c r="H414" t="s">
        <v>43</v>
      </c>
      <c r="I414" t="str">
        <f>_xlfn.IFNA(VLOOKUP(C414,merchants!$A$2:$D$41,2,FALSE),"Merchant not found")</f>
        <v>Merchant_030</v>
      </c>
      <c r="J414" t="str">
        <f>_xlfn.IFNA(VLOOKUP(C414,merchants!$A$2:$D$41,3,FALSE),"Merchant not found")</f>
        <v>travel</v>
      </c>
      <c r="K414" t="str">
        <f>_xlfn.IFNA(VLOOKUP(C414,merchants!$A$2:$D$41,4,FALSE),"Merchant not found")</f>
        <v>West</v>
      </c>
      <c r="L414">
        <f t="shared" si="18"/>
        <v>46025</v>
      </c>
      <c r="M414">
        <f t="shared" si="19"/>
        <v>0</v>
      </c>
      <c r="N414" t="str">
        <f t="shared" si="20"/>
        <v>Standard</v>
      </c>
      <c r="O414">
        <f>HLOOKUP(F414,fee_lookup!$B$1:$E$2,2,FALSE)</f>
        <v>1.2E-2</v>
      </c>
    </row>
    <row r="415" spans="1:15" x14ac:dyDescent="0.3">
      <c r="A415" t="s">
        <v>1173</v>
      </c>
      <c r="B415" t="s">
        <v>996</v>
      </c>
      <c r="C415" t="s">
        <v>15</v>
      </c>
      <c r="D415" t="s">
        <v>1174</v>
      </c>
      <c r="E415" t="s">
        <v>118</v>
      </c>
      <c r="F415" t="s">
        <v>154</v>
      </c>
      <c r="G415" t="s">
        <v>107</v>
      </c>
      <c r="H415" t="s">
        <v>592</v>
      </c>
      <c r="I415" t="str">
        <f>_xlfn.IFNA(VLOOKUP(C415,merchants!$A$2:$D$41,2,FALSE),"Merchant not found")</f>
        <v>Merchant_004</v>
      </c>
      <c r="J415" t="str">
        <f>_xlfn.IFNA(VLOOKUP(C415,merchants!$A$2:$D$41,3,FALSE),"Merchant not found")</f>
        <v>ecommerce</v>
      </c>
      <c r="K415" t="str">
        <f>_xlfn.IFNA(VLOOKUP(C415,merchants!$A$2:$D$41,4,FALSE),"Merchant not found")</f>
        <v>East</v>
      </c>
      <c r="L415">
        <f t="shared" si="18"/>
        <v>46039</v>
      </c>
      <c r="M415">
        <f t="shared" si="19"/>
        <v>0</v>
      </c>
      <c r="N415" t="str">
        <f t="shared" si="20"/>
        <v>Standard</v>
      </c>
      <c r="O415">
        <f>HLOOKUP(F415,fee_lookup!$B$1:$E$2,2,FALSE)</f>
        <v>1.7999999999999999E-2</v>
      </c>
    </row>
    <row r="416" spans="1:15" x14ac:dyDescent="0.3">
      <c r="A416" t="s">
        <v>1175</v>
      </c>
      <c r="B416" t="s">
        <v>432</v>
      </c>
      <c r="C416" t="s">
        <v>8</v>
      </c>
      <c r="D416" t="s">
        <v>1176</v>
      </c>
      <c r="E416" t="s">
        <v>118</v>
      </c>
      <c r="F416" t="s">
        <v>154</v>
      </c>
      <c r="G416" t="s">
        <v>107</v>
      </c>
      <c r="H416" t="s">
        <v>278</v>
      </c>
      <c r="I416" t="str">
        <f>_xlfn.IFNA(VLOOKUP(C416,merchants!$A$2:$D$41,2,FALSE),"Merchant not found")</f>
        <v>Merchant_002</v>
      </c>
      <c r="J416" t="str">
        <f>_xlfn.IFNA(VLOOKUP(C416,merchants!$A$2:$D$41,3,FALSE),"Merchant not found")</f>
        <v>grocery</v>
      </c>
      <c r="K416" t="str">
        <f>_xlfn.IFNA(VLOOKUP(C416,merchants!$A$2:$D$41,4,FALSE),"Merchant not found")</f>
        <v>West</v>
      </c>
      <c r="L416">
        <f t="shared" si="18"/>
        <v>46037</v>
      </c>
      <c r="M416">
        <f t="shared" si="19"/>
        <v>0</v>
      </c>
      <c r="N416" t="str">
        <f t="shared" si="20"/>
        <v>Standard</v>
      </c>
      <c r="O416">
        <f>HLOOKUP(F416,fee_lookup!$B$1:$E$2,2,FALSE)</f>
        <v>1.7999999999999999E-2</v>
      </c>
    </row>
    <row r="417" spans="1:15" x14ac:dyDescent="0.3">
      <c r="A417" t="s">
        <v>1177</v>
      </c>
      <c r="B417" t="s">
        <v>1178</v>
      </c>
      <c r="C417" t="s">
        <v>89</v>
      </c>
      <c r="D417" t="s">
        <v>1179</v>
      </c>
      <c r="E417" t="s">
        <v>112</v>
      </c>
      <c r="F417" t="s">
        <v>113</v>
      </c>
      <c r="G417" t="s">
        <v>107</v>
      </c>
      <c r="H417" t="s">
        <v>28</v>
      </c>
      <c r="I417" t="str">
        <f>_xlfn.IFNA(VLOOKUP(C417,merchants!$A$2:$D$41,2,FALSE),"Merchant not found")</f>
        <v>Merchant_038</v>
      </c>
      <c r="J417" t="str">
        <f>_xlfn.IFNA(VLOOKUP(C417,merchants!$A$2:$D$41,3,FALSE),"Merchant not found")</f>
        <v>grocery</v>
      </c>
      <c r="K417" t="str">
        <f>_xlfn.IFNA(VLOOKUP(C417,merchants!$A$2:$D$41,4,FALSE),"Merchant not found")</f>
        <v>East</v>
      </c>
      <c r="L417">
        <f t="shared" si="18"/>
        <v>46031</v>
      </c>
      <c r="M417">
        <f t="shared" si="19"/>
        <v>0</v>
      </c>
      <c r="N417" t="str">
        <f t="shared" si="20"/>
        <v>Standard</v>
      </c>
      <c r="O417">
        <f>HLOOKUP(F417,fee_lookup!$B$1:$E$2,2,FALSE)</f>
        <v>2E-3</v>
      </c>
    </row>
    <row r="418" spans="1:15" x14ac:dyDescent="0.3">
      <c r="A418" t="s">
        <v>1180</v>
      </c>
      <c r="B418" t="s">
        <v>78</v>
      </c>
      <c r="C418" t="s">
        <v>82</v>
      </c>
      <c r="D418" t="s">
        <v>1181</v>
      </c>
      <c r="E418" t="s">
        <v>145</v>
      </c>
      <c r="F418" t="s">
        <v>154</v>
      </c>
      <c r="G418" t="s">
        <v>155</v>
      </c>
      <c r="H418" t="s">
        <v>23</v>
      </c>
      <c r="I418" t="str">
        <f>_xlfn.IFNA(VLOOKUP(C418,merchants!$A$2:$D$41,2,FALSE),"Merchant not found")</f>
        <v>Merchant_035</v>
      </c>
      <c r="J418" t="str">
        <f>_xlfn.IFNA(VLOOKUP(C418,merchants!$A$2:$D$41,3,FALSE),"Merchant not found")</f>
        <v>recharge</v>
      </c>
      <c r="K418" t="str">
        <f>_xlfn.IFNA(VLOOKUP(C418,merchants!$A$2:$D$41,4,FALSE),"Merchant not found")</f>
        <v>East</v>
      </c>
      <c r="L418">
        <f t="shared" si="18"/>
        <v>46024</v>
      </c>
      <c r="M418">
        <f t="shared" si="19"/>
        <v>0</v>
      </c>
      <c r="N418" t="str">
        <f t="shared" si="20"/>
        <v>Standard</v>
      </c>
      <c r="O418">
        <f>HLOOKUP(F418,fee_lookup!$B$1:$E$2,2,FALSE)</f>
        <v>1.7999999999999999E-2</v>
      </c>
    </row>
    <row r="419" spans="1:15" x14ac:dyDescent="0.3">
      <c r="A419" t="s">
        <v>1182</v>
      </c>
      <c r="B419" t="s">
        <v>859</v>
      </c>
      <c r="C419" t="s">
        <v>12</v>
      </c>
      <c r="D419" t="s">
        <v>1183</v>
      </c>
      <c r="E419" t="s">
        <v>112</v>
      </c>
      <c r="F419" t="s">
        <v>113</v>
      </c>
      <c r="G419" t="s">
        <v>107</v>
      </c>
      <c r="H419" t="s">
        <v>84</v>
      </c>
      <c r="I419" t="str">
        <f>_xlfn.IFNA(VLOOKUP(C419,merchants!$A$2:$D$41,2,FALSE),"Merchant not found")</f>
        <v>Merchant_003</v>
      </c>
      <c r="J419" t="str">
        <f>_xlfn.IFNA(VLOOKUP(C419,merchants!$A$2:$D$41,3,FALSE),"Merchant not found")</f>
        <v>grocery</v>
      </c>
      <c r="K419" t="str">
        <f>_xlfn.IFNA(VLOOKUP(C419,merchants!$A$2:$D$41,4,FALSE),"Merchant not found")</f>
        <v>East</v>
      </c>
      <c r="L419">
        <f t="shared" si="18"/>
        <v>46052</v>
      </c>
      <c r="M419">
        <f t="shared" si="19"/>
        <v>0</v>
      </c>
      <c r="N419" t="str">
        <f t="shared" si="20"/>
        <v>Standard</v>
      </c>
      <c r="O419">
        <f>HLOOKUP(F419,fee_lookup!$B$1:$E$2,2,FALSE)</f>
        <v>2E-3</v>
      </c>
    </row>
    <row r="420" spans="1:15" x14ac:dyDescent="0.3">
      <c r="A420" t="s">
        <v>1184</v>
      </c>
      <c r="B420" t="s">
        <v>176</v>
      </c>
      <c r="C420" t="s">
        <v>66</v>
      </c>
      <c r="D420" t="s">
        <v>1185</v>
      </c>
      <c r="E420" t="s">
        <v>227</v>
      </c>
      <c r="F420" t="s">
        <v>113</v>
      </c>
      <c r="G420" t="s">
        <v>107</v>
      </c>
      <c r="H420" t="s">
        <v>363</v>
      </c>
      <c r="I420" t="str">
        <f>_xlfn.IFNA(VLOOKUP(C420,merchants!$A$2:$D$41,2,FALSE),"Merchant not found")</f>
        <v>Merchant_027</v>
      </c>
      <c r="J420" t="str">
        <f>_xlfn.IFNA(VLOOKUP(C420,merchants!$A$2:$D$41,3,FALSE),"Merchant not found")</f>
        <v>ecommerce</v>
      </c>
      <c r="K420" t="str">
        <f>_xlfn.IFNA(VLOOKUP(C420,merchants!$A$2:$D$41,4,FALSE),"Merchant not found")</f>
        <v>North</v>
      </c>
      <c r="L420">
        <f t="shared" si="18"/>
        <v>46036</v>
      </c>
      <c r="M420">
        <f t="shared" si="19"/>
        <v>0</v>
      </c>
      <c r="N420" t="str">
        <f t="shared" si="20"/>
        <v>Standard</v>
      </c>
      <c r="O420">
        <f>HLOOKUP(F420,fee_lookup!$B$1:$E$2,2,FALSE)</f>
        <v>2E-3</v>
      </c>
    </row>
    <row r="421" spans="1:15" x14ac:dyDescent="0.3">
      <c r="A421" t="s">
        <v>1186</v>
      </c>
      <c r="B421" t="s">
        <v>1187</v>
      </c>
      <c r="C421" t="s">
        <v>62</v>
      </c>
      <c r="D421" t="s">
        <v>1188</v>
      </c>
      <c r="E421" t="s">
        <v>112</v>
      </c>
      <c r="F421" t="s">
        <v>106</v>
      </c>
      <c r="G421" t="s">
        <v>107</v>
      </c>
      <c r="H421" t="s">
        <v>30</v>
      </c>
      <c r="I421" t="str">
        <f>_xlfn.IFNA(VLOOKUP(C421,merchants!$A$2:$D$41,2,FALSE),"Merchant not found")</f>
        <v>Merchant_025</v>
      </c>
      <c r="J421" t="str">
        <f>_xlfn.IFNA(VLOOKUP(C421,merchants!$A$2:$D$41,3,FALSE),"Merchant not found")</f>
        <v>travel</v>
      </c>
      <c r="K421" t="str">
        <f>_xlfn.IFNA(VLOOKUP(C421,merchants!$A$2:$D$41,4,FALSE),"Merchant not found")</f>
        <v>South</v>
      </c>
      <c r="L421">
        <f t="shared" si="18"/>
        <v>46051</v>
      </c>
      <c r="M421">
        <f t="shared" si="19"/>
        <v>0</v>
      </c>
      <c r="N421" t="str">
        <f t="shared" si="20"/>
        <v>Standard</v>
      </c>
      <c r="O421">
        <f>HLOOKUP(F421,fee_lookup!$B$1:$E$2,2,FALSE)</f>
        <v>0.01</v>
      </c>
    </row>
    <row r="422" spans="1:15" x14ac:dyDescent="0.3">
      <c r="A422" t="s">
        <v>1189</v>
      </c>
      <c r="B422" t="s">
        <v>245</v>
      </c>
      <c r="C422" t="s">
        <v>28</v>
      </c>
      <c r="D422" t="s">
        <v>1190</v>
      </c>
      <c r="E422" t="s">
        <v>140</v>
      </c>
      <c r="F422" t="s">
        <v>113</v>
      </c>
      <c r="G422" t="s">
        <v>107</v>
      </c>
      <c r="H422" t="s">
        <v>519</v>
      </c>
      <c r="I422" t="str">
        <f>_xlfn.IFNA(VLOOKUP(C422,merchants!$A$2:$D$41,2,FALSE),"Merchant not found")</f>
        <v>Merchant_009</v>
      </c>
      <c r="J422" t="str">
        <f>_xlfn.IFNA(VLOOKUP(C422,merchants!$A$2:$D$41,3,FALSE),"Merchant not found")</f>
        <v>ecommerce</v>
      </c>
      <c r="K422" t="str">
        <f>_xlfn.IFNA(VLOOKUP(C422,merchants!$A$2:$D$41,4,FALSE),"Merchant not found")</f>
        <v>North</v>
      </c>
      <c r="L422">
        <f t="shared" si="18"/>
        <v>46044</v>
      </c>
      <c r="M422">
        <f t="shared" si="19"/>
        <v>0</v>
      </c>
      <c r="N422" t="str">
        <f t="shared" si="20"/>
        <v>Standard</v>
      </c>
      <c r="O422">
        <f>HLOOKUP(F422,fee_lookup!$B$1:$E$2,2,FALSE)</f>
        <v>2E-3</v>
      </c>
    </row>
    <row r="423" spans="1:15" x14ac:dyDescent="0.3">
      <c r="A423" t="s">
        <v>1191</v>
      </c>
      <c r="B423" t="s">
        <v>120</v>
      </c>
      <c r="C423" t="s">
        <v>82</v>
      </c>
      <c r="D423" t="s">
        <v>1192</v>
      </c>
      <c r="E423" t="s">
        <v>112</v>
      </c>
      <c r="F423" t="s">
        <v>113</v>
      </c>
      <c r="G423" t="s">
        <v>107</v>
      </c>
      <c r="H423" t="s">
        <v>278</v>
      </c>
      <c r="I423" t="str">
        <f>_xlfn.IFNA(VLOOKUP(C423,merchants!$A$2:$D$41,2,FALSE),"Merchant not found")</f>
        <v>Merchant_035</v>
      </c>
      <c r="J423" t="str">
        <f>_xlfn.IFNA(VLOOKUP(C423,merchants!$A$2:$D$41,3,FALSE),"Merchant not found")</f>
        <v>recharge</v>
      </c>
      <c r="K423" t="str">
        <f>_xlfn.IFNA(VLOOKUP(C423,merchants!$A$2:$D$41,4,FALSE),"Merchant not found")</f>
        <v>East</v>
      </c>
      <c r="L423">
        <f t="shared" si="18"/>
        <v>46050</v>
      </c>
      <c r="M423">
        <f t="shared" si="19"/>
        <v>0</v>
      </c>
      <c r="N423" t="str">
        <f t="shared" si="20"/>
        <v>Standard</v>
      </c>
      <c r="O423">
        <f>HLOOKUP(F423,fee_lookup!$B$1:$E$2,2,FALSE)</f>
        <v>2E-3</v>
      </c>
    </row>
    <row r="424" spans="1:15" x14ac:dyDescent="0.3">
      <c r="A424" t="s">
        <v>1193</v>
      </c>
      <c r="B424" t="s">
        <v>1194</v>
      </c>
      <c r="C424" t="s">
        <v>4</v>
      </c>
      <c r="D424" t="s">
        <v>1195</v>
      </c>
      <c r="E424" t="s">
        <v>227</v>
      </c>
      <c r="F424" t="s">
        <v>106</v>
      </c>
      <c r="G424" t="s">
        <v>107</v>
      </c>
      <c r="H424" t="s">
        <v>296</v>
      </c>
      <c r="I424" t="str">
        <f>_xlfn.IFNA(VLOOKUP(C424,merchants!$A$2:$D$41,2,FALSE),"Merchant not found")</f>
        <v>Merchant_001</v>
      </c>
      <c r="J424" t="str">
        <f>_xlfn.IFNA(VLOOKUP(C424,merchants!$A$2:$D$41,3,FALSE),"Merchant not found")</f>
        <v>ecommerce</v>
      </c>
      <c r="K424" t="str">
        <f>_xlfn.IFNA(VLOOKUP(C424,merchants!$A$2:$D$41,4,FALSE),"Merchant not found")</f>
        <v>South</v>
      </c>
      <c r="L424">
        <f t="shared" si="18"/>
        <v>46039</v>
      </c>
      <c r="M424">
        <f t="shared" si="19"/>
        <v>0</v>
      </c>
      <c r="N424" t="str">
        <f t="shared" si="20"/>
        <v>Standard</v>
      </c>
      <c r="O424">
        <f>HLOOKUP(F424,fee_lookup!$B$1:$E$2,2,FALSE)</f>
        <v>0.01</v>
      </c>
    </row>
    <row r="425" spans="1:15" x14ac:dyDescent="0.3">
      <c r="A425" t="s">
        <v>1196</v>
      </c>
      <c r="B425" t="s">
        <v>1197</v>
      </c>
      <c r="C425" t="s">
        <v>82</v>
      </c>
      <c r="D425" t="s">
        <v>1198</v>
      </c>
      <c r="E425" t="s">
        <v>220</v>
      </c>
      <c r="F425" t="s">
        <v>154</v>
      </c>
      <c r="G425" t="s">
        <v>107</v>
      </c>
      <c r="H425" t="s">
        <v>688</v>
      </c>
      <c r="I425" t="str">
        <f>_xlfn.IFNA(VLOOKUP(C425,merchants!$A$2:$D$41,2,FALSE),"Merchant not found")</f>
        <v>Merchant_035</v>
      </c>
      <c r="J425" t="str">
        <f>_xlfn.IFNA(VLOOKUP(C425,merchants!$A$2:$D$41,3,FALSE),"Merchant not found")</f>
        <v>recharge</v>
      </c>
      <c r="K425" t="str">
        <f>_xlfn.IFNA(VLOOKUP(C425,merchants!$A$2:$D$41,4,FALSE),"Merchant not found")</f>
        <v>East</v>
      </c>
      <c r="L425">
        <f t="shared" si="18"/>
        <v>46023</v>
      </c>
      <c r="M425">
        <f t="shared" si="19"/>
        <v>0</v>
      </c>
      <c r="N425" t="str">
        <f t="shared" si="20"/>
        <v>Standard</v>
      </c>
      <c r="O425">
        <f>HLOOKUP(F425,fee_lookup!$B$1:$E$2,2,FALSE)</f>
        <v>1.7999999999999999E-2</v>
      </c>
    </row>
    <row r="426" spans="1:15" x14ac:dyDescent="0.3">
      <c r="A426" t="s">
        <v>1199</v>
      </c>
      <c r="B426" t="s">
        <v>1200</v>
      </c>
      <c r="C426" t="s">
        <v>43</v>
      </c>
      <c r="D426" t="s">
        <v>1201</v>
      </c>
      <c r="E426" t="s">
        <v>112</v>
      </c>
      <c r="F426" t="s">
        <v>113</v>
      </c>
      <c r="G426" t="s">
        <v>107</v>
      </c>
      <c r="H426" t="s">
        <v>463</v>
      </c>
      <c r="I426" t="str">
        <f>_xlfn.IFNA(VLOOKUP(C426,merchants!$A$2:$D$41,2,FALSE),"Merchant not found")</f>
        <v>Merchant_016</v>
      </c>
      <c r="J426" t="str">
        <f>_xlfn.IFNA(VLOOKUP(C426,merchants!$A$2:$D$41,3,FALSE),"Merchant not found")</f>
        <v>bill_payment</v>
      </c>
      <c r="K426" t="str">
        <f>_xlfn.IFNA(VLOOKUP(C426,merchants!$A$2:$D$41,4,FALSE),"Merchant not found")</f>
        <v>West</v>
      </c>
      <c r="L426">
        <f t="shared" si="18"/>
        <v>46040</v>
      </c>
      <c r="M426">
        <f t="shared" si="19"/>
        <v>0</v>
      </c>
      <c r="N426" t="str">
        <f t="shared" si="20"/>
        <v>Standard</v>
      </c>
      <c r="O426">
        <f>HLOOKUP(F426,fee_lookup!$B$1:$E$2,2,FALSE)</f>
        <v>2E-3</v>
      </c>
    </row>
    <row r="427" spans="1:15" x14ac:dyDescent="0.3">
      <c r="A427" t="s">
        <v>1202</v>
      </c>
      <c r="B427" t="s">
        <v>506</v>
      </c>
      <c r="C427" t="s">
        <v>25</v>
      </c>
      <c r="D427" t="s">
        <v>1203</v>
      </c>
      <c r="E427" t="s">
        <v>127</v>
      </c>
      <c r="F427" t="s">
        <v>122</v>
      </c>
      <c r="G427" t="s">
        <v>107</v>
      </c>
      <c r="H427" t="s">
        <v>15</v>
      </c>
      <c r="I427" t="str">
        <f>_xlfn.IFNA(VLOOKUP(C427,merchants!$A$2:$D$41,2,FALSE),"Merchant not found")</f>
        <v>Merchant_008</v>
      </c>
      <c r="J427" t="str">
        <f>_xlfn.IFNA(VLOOKUP(C427,merchants!$A$2:$D$41,3,FALSE),"Merchant not found")</f>
        <v>food_delivery</v>
      </c>
      <c r="K427" t="str">
        <f>_xlfn.IFNA(VLOOKUP(C427,merchants!$A$2:$D$41,4,FALSE),"Merchant not found")</f>
        <v>North</v>
      </c>
      <c r="L427">
        <f t="shared" si="18"/>
        <v>46034</v>
      </c>
      <c r="M427">
        <f t="shared" si="19"/>
        <v>0</v>
      </c>
      <c r="N427" t="str">
        <f t="shared" si="20"/>
        <v>Standard</v>
      </c>
      <c r="O427">
        <f>HLOOKUP(F427,fee_lookup!$B$1:$E$2,2,FALSE)</f>
        <v>1.2E-2</v>
      </c>
    </row>
    <row r="428" spans="1:15" x14ac:dyDescent="0.3">
      <c r="A428" t="s">
        <v>1204</v>
      </c>
      <c r="B428" t="s">
        <v>1205</v>
      </c>
      <c r="C428" t="s">
        <v>8</v>
      </c>
      <c r="D428" t="s">
        <v>1206</v>
      </c>
      <c r="E428" t="s">
        <v>145</v>
      </c>
      <c r="F428" t="s">
        <v>106</v>
      </c>
      <c r="G428" t="s">
        <v>107</v>
      </c>
      <c r="H428" t="s">
        <v>72</v>
      </c>
      <c r="I428" t="str">
        <f>_xlfn.IFNA(VLOOKUP(C428,merchants!$A$2:$D$41,2,FALSE),"Merchant not found")</f>
        <v>Merchant_002</v>
      </c>
      <c r="J428" t="str">
        <f>_xlfn.IFNA(VLOOKUP(C428,merchants!$A$2:$D$41,3,FALSE),"Merchant not found")</f>
        <v>grocery</v>
      </c>
      <c r="K428" t="str">
        <f>_xlfn.IFNA(VLOOKUP(C428,merchants!$A$2:$D$41,4,FALSE),"Merchant not found")</f>
        <v>West</v>
      </c>
      <c r="L428">
        <f t="shared" si="18"/>
        <v>46048</v>
      </c>
      <c r="M428">
        <f t="shared" si="19"/>
        <v>0</v>
      </c>
      <c r="N428" t="str">
        <f t="shared" si="20"/>
        <v>Standard</v>
      </c>
      <c r="O428">
        <f>HLOOKUP(F428,fee_lookup!$B$1:$E$2,2,FALSE)</f>
        <v>0.01</v>
      </c>
    </row>
    <row r="429" spans="1:15" x14ac:dyDescent="0.3">
      <c r="A429" t="s">
        <v>1207</v>
      </c>
      <c r="B429" t="s">
        <v>779</v>
      </c>
      <c r="C429" t="s">
        <v>12</v>
      </c>
      <c r="D429" t="s">
        <v>1208</v>
      </c>
      <c r="E429" t="s">
        <v>145</v>
      </c>
      <c r="F429" t="s">
        <v>113</v>
      </c>
      <c r="G429" t="s">
        <v>107</v>
      </c>
      <c r="H429" t="s">
        <v>356</v>
      </c>
      <c r="I429" t="str">
        <f>_xlfn.IFNA(VLOOKUP(C429,merchants!$A$2:$D$41,2,FALSE),"Merchant not found")</f>
        <v>Merchant_003</v>
      </c>
      <c r="J429" t="str">
        <f>_xlfn.IFNA(VLOOKUP(C429,merchants!$A$2:$D$41,3,FALSE),"Merchant not found")</f>
        <v>grocery</v>
      </c>
      <c r="K429" t="str">
        <f>_xlfn.IFNA(VLOOKUP(C429,merchants!$A$2:$D$41,4,FALSE),"Merchant not found")</f>
        <v>East</v>
      </c>
      <c r="L429">
        <f t="shared" si="18"/>
        <v>46029</v>
      </c>
      <c r="M429">
        <f t="shared" si="19"/>
        <v>0</v>
      </c>
      <c r="N429" t="str">
        <f t="shared" si="20"/>
        <v>Standard</v>
      </c>
      <c r="O429">
        <f>HLOOKUP(F429,fee_lookup!$B$1:$E$2,2,FALSE)</f>
        <v>2E-3</v>
      </c>
    </row>
    <row r="430" spans="1:15" x14ac:dyDescent="0.3">
      <c r="A430" t="s">
        <v>1209</v>
      </c>
      <c r="B430" t="s">
        <v>62</v>
      </c>
      <c r="C430" t="s">
        <v>43</v>
      </c>
      <c r="D430" t="s">
        <v>1210</v>
      </c>
      <c r="E430" t="s">
        <v>145</v>
      </c>
      <c r="F430" t="s">
        <v>113</v>
      </c>
      <c r="G430" t="s">
        <v>107</v>
      </c>
      <c r="H430" t="s">
        <v>981</v>
      </c>
      <c r="I430" t="str">
        <f>_xlfn.IFNA(VLOOKUP(C430,merchants!$A$2:$D$41,2,FALSE),"Merchant not found")</f>
        <v>Merchant_016</v>
      </c>
      <c r="J430" t="str">
        <f>_xlfn.IFNA(VLOOKUP(C430,merchants!$A$2:$D$41,3,FALSE),"Merchant not found")</f>
        <v>bill_payment</v>
      </c>
      <c r="K430" t="str">
        <f>_xlfn.IFNA(VLOOKUP(C430,merchants!$A$2:$D$41,4,FALSE),"Merchant not found")</f>
        <v>West</v>
      </c>
      <c r="L430">
        <f t="shared" si="18"/>
        <v>46042</v>
      </c>
      <c r="M430">
        <f t="shared" si="19"/>
        <v>0</v>
      </c>
      <c r="N430" t="str">
        <f t="shared" si="20"/>
        <v>Standard</v>
      </c>
      <c r="O430">
        <f>HLOOKUP(F430,fee_lookup!$B$1:$E$2,2,FALSE)</f>
        <v>2E-3</v>
      </c>
    </row>
    <row r="431" spans="1:15" x14ac:dyDescent="0.3">
      <c r="A431" t="s">
        <v>1211</v>
      </c>
      <c r="B431" t="s">
        <v>1212</v>
      </c>
      <c r="C431" t="s">
        <v>82</v>
      </c>
      <c r="D431" t="s">
        <v>1213</v>
      </c>
      <c r="E431" t="s">
        <v>112</v>
      </c>
      <c r="F431" t="s">
        <v>113</v>
      </c>
      <c r="G431" t="s">
        <v>107</v>
      </c>
      <c r="H431" t="s">
        <v>66</v>
      </c>
      <c r="I431" t="str">
        <f>_xlfn.IFNA(VLOOKUP(C431,merchants!$A$2:$D$41,2,FALSE),"Merchant not found")</f>
        <v>Merchant_035</v>
      </c>
      <c r="J431" t="str">
        <f>_xlfn.IFNA(VLOOKUP(C431,merchants!$A$2:$D$41,3,FALSE),"Merchant not found")</f>
        <v>recharge</v>
      </c>
      <c r="K431" t="str">
        <f>_xlfn.IFNA(VLOOKUP(C431,merchants!$A$2:$D$41,4,FALSE),"Merchant not found")</f>
        <v>East</v>
      </c>
      <c r="L431">
        <f t="shared" si="18"/>
        <v>46024</v>
      </c>
      <c r="M431">
        <f t="shared" si="19"/>
        <v>0</v>
      </c>
      <c r="N431" t="str">
        <f t="shared" si="20"/>
        <v>Standard</v>
      </c>
      <c r="O431">
        <f>HLOOKUP(F431,fee_lookup!$B$1:$E$2,2,FALSE)</f>
        <v>2E-3</v>
      </c>
    </row>
    <row r="432" spans="1:15" x14ac:dyDescent="0.3">
      <c r="A432" t="s">
        <v>1214</v>
      </c>
      <c r="B432" t="s">
        <v>648</v>
      </c>
      <c r="C432" t="s">
        <v>50</v>
      </c>
      <c r="D432" t="s">
        <v>1215</v>
      </c>
      <c r="E432" t="s">
        <v>112</v>
      </c>
      <c r="F432" t="s">
        <v>106</v>
      </c>
      <c r="G432" t="s">
        <v>107</v>
      </c>
      <c r="H432" t="s">
        <v>70</v>
      </c>
      <c r="I432" t="str">
        <f>_xlfn.IFNA(VLOOKUP(C432,merchants!$A$2:$D$41,2,FALSE),"Merchant not found")</f>
        <v>Merchant_019</v>
      </c>
      <c r="J432" t="str">
        <f>_xlfn.IFNA(VLOOKUP(C432,merchants!$A$2:$D$41,3,FALSE),"Merchant not found")</f>
        <v>grocery</v>
      </c>
      <c r="K432" t="str">
        <f>_xlfn.IFNA(VLOOKUP(C432,merchants!$A$2:$D$41,4,FALSE),"Merchant not found")</f>
        <v>North</v>
      </c>
      <c r="L432">
        <f t="shared" si="18"/>
        <v>46047</v>
      </c>
      <c r="M432">
        <f t="shared" si="19"/>
        <v>0</v>
      </c>
      <c r="N432" t="str">
        <f t="shared" si="20"/>
        <v>Standard</v>
      </c>
      <c r="O432">
        <f>HLOOKUP(F432,fee_lookup!$B$1:$E$2,2,FALSE)</f>
        <v>0.01</v>
      </c>
    </row>
    <row r="433" spans="1:15" x14ac:dyDescent="0.3">
      <c r="A433" t="s">
        <v>1216</v>
      </c>
      <c r="B433" t="s">
        <v>959</v>
      </c>
      <c r="C433" t="s">
        <v>87</v>
      </c>
      <c r="D433" t="s">
        <v>1217</v>
      </c>
      <c r="E433" t="s">
        <v>140</v>
      </c>
      <c r="F433" t="s">
        <v>113</v>
      </c>
      <c r="G433" t="s">
        <v>107</v>
      </c>
      <c r="H433" t="s">
        <v>228</v>
      </c>
      <c r="I433" t="str">
        <f>_xlfn.IFNA(VLOOKUP(C433,merchants!$A$2:$D$41,2,FALSE),"Merchant not found")</f>
        <v>Merchant_037</v>
      </c>
      <c r="J433" t="str">
        <f>_xlfn.IFNA(VLOOKUP(C433,merchants!$A$2:$D$41,3,FALSE),"Merchant not found")</f>
        <v>entertainment</v>
      </c>
      <c r="K433" t="str">
        <f>_xlfn.IFNA(VLOOKUP(C433,merchants!$A$2:$D$41,4,FALSE),"Merchant not found")</f>
        <v>South</v>
      </c>
      <c r="L433">
        <f t="shared" si="18"/>
        <v>46049</v>
      </c>
      <c r="M433">
        <f t="shared" si="19"/>
        <v>0</v>
      </c>
      <c r="N433" t="str">
        <f t="shared" si="20"/>
        <v>Standard</v>
      </c>
      <c r="O433">
        <f>HLOOKUP(F433,fee_lookup!$B$1:$E$2,2,FALSE)</f>
        <v>2E-3</v>
      </c>
    </row>
    <row r="434" spans="1:15" x14ac:dyDescent="0.3">
      <c r="A434" t="s">
        <v>1218</v>
      </c>
      <c r="B434" t="s">
        <v>1219</v>
      </c>
      <c r="C434" t="s">
        <v>43</v>
      </c>
      <c r="D434" t="s">
        <v>1220</v>
      </c>
      <c r="E434" t="s">
        <v>112</v>
      </c>
      <c r="F434" t="s">
        <v>106</v>
      </c>
      <c r="G434" t="s">
        <v>107</v>
      </c>
      <c r="H434" t="s">
        <v>89</v>
      </c>
      <c r="I434" t="str">
        <f>_xlfn.IFNA(VLOOKUP(C434,merchants!$A$2:$D$41,2,FALSE),"Merchant not found")</f>
        <v>Merchant_016</v>
      </c>
      <c r="J434" t="str">
        <f>_xlfn.IFNA(VLOOKUP(C434,merchants!$A$2:$D$41,3,FALSE),"Merchant not found")</f>
        <v>bill_payment</v>
      </c>
      <c r="K434" t="str">
        <f>_xlfn.IFNA(VLOOKUP(C434,merchants!$A$2:$D$41,4,FALSE),"Merchant not found")</f>
        <v>West</v>
      </c>
      <c r="L434">
        <f t="shared" si="18"/>
        <v>46047</v>
      </c>
      <c r="M434">
        <f t="shared" si="19"/>
        <v>0</v>
      </c>
      <c r="N434" t="str">
        <f t="shared" si="20"/>
        <v>Standard</v>
      </c>
      <c r="O434">
        <f>HLOOKUP(F434,fee_lookup!$B$1:$E$2,2,FALSE)</f>
        <v>0.01</v>
      </c>
    </row>
    <row r="435" spans="1:15" x14ac:dyDescent="0.3">
      <c r="A435" t="s">
        <v>1221</v>
      </c>
      <c r="B435" t="s">
        <v>1222</v>
      </c>
      <c r="C435" t="s">
        <v>41</v>
      </c>
      <c r="D435" t="s">
        <v>1223</v>
      </c>
      <c r="E435" t="s">
        <v>112</v>
      </c>
      <c r="F435" t="s">
        <v>122</v>
      </c>
      <c r="G435" t="s">
        <v>107</v>
      </c>
      <c r="H435" t="s">
        <v>415</v>
      </c>
      <c r="I435" t="str">
        <f>_xlfn.IFNA(VLOOKUP(C435,merchants!$A$2:$D$41,2,FALSE),"Merchant not found")</f>
        <v>Merchant_015</v>
      </c>
      <c r="J435" t="str">
        <f>_xlfn.IFNA(VLOOKUP(C435,merchants!$A$2:$D$41,3,FALSE),"Merchant not found")</f>
        <v>travel</v>
      </c>
      <c r="K435" t="str">
        <f>_xlfn.IFNA(VLOOKUP(C435,merchants!$A$2:$D$41,4,FALSE),"Merchant not found")</f>
        <v>North</v>
      </c>
      <c r="L435">
        <f t="shared" si="18"/>
        <v>46051</v>
      </c>
      <c r="M435">
        <f t="shared" si="19"/>
        <v>0</v>
      </c>
      <c r="N435" t="str">
        <f t="shared" si="20"/>
        <v>Standard</v>
      </c>
      <c r="O435">
        <f>HLOOKUP(F435,fee_lookup!$B$1:$E$2,2,FALSE)</f>
        <v>1.2E-2</v>
      </c>
    </row>
    <row r="436" spans="1:15" x14ac:dyDescent="0.3">
      <c r="A436" t="s">
        <v>1224</v>
      </c>
      <c r="B436" t="s">
        <v>1225</v>
      </c>
      <c r="C436" t="s">
        <v>89</v>
      </c>
      <c r="D436" t="s">
        <v>1226</v>
      </c>
      <c r="E436" t="s">
        <v>145</v>
      </c>
      <c r="F436" t="s">
        <v>106</v>
      </c>
      <c r="G436" t="s">
        <v>107</v>
      </c>
      <c r="H436" t="s">
        <v>981</v>
      </c>
      <c r="I436" t="str">
        <f>_xlfn.IFNA(VLOOKUP(C436,merchants!$A$2:$D$41,2,FALSE),"Merchant not found")</f>
        <v>Merchant_038</v>
      </c>
      <c r="J436" t="str">
        <f>_xlfn.IFNA(VLOOKUP(C436,merchants!$A$2:$D$41,3,FALSE),"Merchant not found")</f>
        <v>grocery</v>
      </c>
      <c r="K436" t="str">
        <f>_xlfn.IFNA(VLOOKUP(C436,merchants!$A$2:$D$41,4,FALSE),"Merchant not found")</f>
        <v>East</v>
      </c>
      <c r="L436">
        <f t="shared" si="18"/>
        <v>46032</v>
      </c>
      <c r="M436">
        <f t="shared" si="19"/>
        <v>0</v>
      </c>
      <c r="N436" t="str">
        <f t="shared" si="20"/>
        <v>Standard</v>
      </c>
      <c r="O436">
        <f>HLOOKUP(F436,fee_lookup!$B$1:$E$2,2,FALSE)</f>
        <v>0.01</v>
      </c>
    </row>
    <row r="437" spans="1:15" x14ac:dyDescent="0.3">
      <c r="A437" t="s">
        <v>1227</v>
      </c>
      <c r="B437" t="s">
        <v>143</v>
      </c>
      <c r="C437" t="s">
        <v>68</v>
      </c>
      <c r="D437" t="s">
        <v>1228</v>
      </c>
      <c r="E437" t="s">
        <v>220</v>
      </c>
      <c r="F437" t="s">
        <v>154</v>
      </c>
      <c r="G437" t="s">
        <v>107</v>
      </c>
      <c r="H437" t="s">
        <v>592</v>
      </c>
      <c r="I437" t="str">
        <f>_xlfn.IFNA(VLOOKUP(C437,merchants!$A$2:$D$41,2,FALSE),"Merchant not found")</f>
        <v>Merchant_028</v>
      </c>
      <c r="J437" t="str">
        <f>_xlfn.IFNA(VLOOKUP(C437,merchants!$A$2:$D$41,3,FALSE),"Merchant not found")</f>
        <v>ecommerce</v>
      </c>
      <c r="K437" t="str">
        <f>_xlfn.IFNA(VLOOKUP(C437,merchants!$A$2:$D$41,4,FALSE),"Merchant not found")</f>
        <v>South</v>
      </c>
      <c r="L437">
        <f t="shared" si="18"/>
        <v>46052</v>
      </c>
      <c r="M437">
        <f t="shared" si="19"/>
        <v>0</v>
      </c>
      <c r="N437" t="str">
        <f t="shared" si="20"/>
        <v>Standard</v>
      </c>
      <c r="O437">
        <f>HLOOKUP(F437,fee_lookup!$B$1:$E$2,2,FALSE)</f>
        <v>1.7999999999999999E-2</v>
      </c>
    </row>
    <row r="438" spans="1:15" x14ac:dyDescent="0.3">
      <c r="A438" t="s">
        <v>1229</v>
      </c>
      <c r="B438" t="s">
        <v>896</v>
      </c>
      <c r="C438" t="s">
        <v>62</v>
      </c>
      <c r="D438" t="s">
        <v>1230</v>
      </c>
      <c r="E438" t="s">
        <v>140</v>
      </c>
      <c r="F438" t="s">
        <v>113</v>
      </c>
      <c r="G438" t="s">
        <v>107</v>
      </c>
      <c r="H438" t="s">
        <v>123</v>
      </c>
      <c r="I438" t="str">
        <f>_xlfn.IFNA(VLOOKUP(C438,merchants!$A$2:$D$41,2,FALSE),"Merchant not found")</f>
        <v>Merchant_025</v>
      </c>
      <c r="J438" t="str">
        <f>_xlfn.IFNA(VLOOKUP(C438,merchants!$A$2:$D$41,3,FALSE),"Merchant not found")</f>
        <v>travel</v>
      </c>
      <c r="K438" t="str">
        <f>_xlfn.IFNA(VLOOKUP(C438,merchants!$A$2:$D$41,4,FALSE),"Merchant not found")</f>
        <v>South</v>
      </c>
      <c r="L438">
        <f t="shared" si="18"/>
        <v>46038</v>
      </c>
      <c r="M438">
        <f t="shared" si="19"/>
        <v>0</v>
      </c>
      <c r="N438" t="str">
        <f t="shared" si="20"/>
        <v>Standard</v>
      </c>
      <c r="O438">
        <f>HLOOKUP(F438,fee_lookup!$B$1:$E$2,2,FALSE)</f>
        <v>2E-3</v>
      </c>
    </row>
    <row r="439" spans="1:15" x14ac:dyDescent="0.3">
      <c r="A439" t="s">
        <v>1231</v>
      </c>
      <c r="B439" t="s">
        <v>1232</v>
      </c>
      <c r="C439" t="s">
        <v>66</v>
      </c>
      <c r="D439" t="s">
        <v>1233</v>
      </c>
      <c r="E439" t="s">
        <v>145</v>
      </c>
      <c r="F439" t="s">
        <v>154</v>
      </c>
      <c r="G439" t="s">
        <v>107</v>
      </c>
      <c r="H439" t="s">
        <v>50</v>
      </c>
      <c r="I439" t="str">
        <f>_xlfn.IFNA(VLOOKUP(C439,merchants!$A$2:$D$41,2,FALSE),"Merchant not found")</f>
        <v>Merchant_027</v>
      </c>
      <c r="J439" t="str">
        <f>_xlfn.IFNA(VLOOKUP(C439,merchants!$A$2:$D$41,3,FALSE),"Merchant not found")</f>
        <v>ecommerce</v>
      </c>
      <c r="K439" t="str">
        <f>_xlfn.IFNA(VLOOKUP(C439,merchants!$A$2:$D$41,4,FALSE),"Merchant not found")</f>
        <v>North</v>
      </c>
      <c r="L439">
        <f t="shared" si="18"/>
        <v>46039</v>
      </c>
      <c r="M439">
        <f t="shared" si="19"/>
        <v>0</v>
      </c>
      <c r="N439" t="str">
        <f t="shared" si="20"/>
        <v>Standard</v>
      </c>
      <c r="O439">
        <f>HLOOKUP(F439,fee_lookup!$B$1:$E$2,2,FALSE)</f>
        <v>1.7999999999999999E-2</v>
      </c>
    </row>
    <row r="440" spans="1:15" x14ac:dyDescent="0.3">
      <c r="A440" t="s">
        <v>1234</v>
      </c>
      <c r="B440" t="s">
        <v>164</v>
      </c>
      <c r="C440" t="s">
        <v>74</v>
      </c>
      <c r="D440" t="s">
        <v>1235</v>
      </c>
      <c r="E440" t="s">
        <v>220</v>
      </c>
      <c r="F440" t="s">
        <v>113</v>
      </c>
      <c r="G440" t="s">
        <v>107</v>
      </c>
      <c r="H440" t="s">
        <v>72</v>
      </c>
      <c r="I440" t="str">
        <f>_xlfn.IFNA(VLOOKUP(C440,merchants!$A$2:$D$41,2,FALSE),"Merchant not found")</f>
        <v>Merchant_031</v>
      </c>
      <c r="J440" t="str">
        <f>_xlfn.IFNA(VLOOKUP(C440,merchants!$A$2:$D$41,3,FALSE),"Merchant not found")</f>
        <v>bill_payment</v>
      </c>
      <c r="K440" t="str">
        <f>_xlfn.IFNA(VLOOKUP(C440,merchants!$A$2:$D$41,4,FALSE),"Merchant not found")</f>
        <v>East</v>
      </c>
      <c r="L440">
        <f t="shared" si="18"/>
        <v>46032</v>
      </c>
      <c r="M440">
        <f t="shared" si="19"/>
        <v>0</v>
      </c>
      <c r="N440" t="str">
        <f t="shared" si="20"/>
        <v>Standard</v>
      </c>
      <c r="O440">
        <f>HLOOKUP(F440,fee_lookup!$B$1:$E$2,2,FALSE)</f>
        <v>2E-3</v>
      </c>
    </row>
    <row r="441" spans="1:15" x14ac:dyDescent="0.3">
      <c r="A441" t="s">
        <v>1236</v>
      </c>
      <c r="B441" t="s">
        <v>150</v>
      </c>
      <c r="C441" t="s">
        <v>72</v>
      </c>
      <c r="D441" t="s">
        <v>1237</v>
      </c>
      <c r="E441" t="s">
        <v>112</v>
      </c>
      <c r="F441" t="s">
        <v>113</v>
      </c>
      <c r="G441" t="s">
        <v>107</v>
      </c>
      <c r="H441" t="s">
        <v>23</v>
      </c>
      <c r="I441" t="str">
        <f>_xlfn.IFNA(VLOOKUP(C441,merchants!$A$2:$D$41,2,FALSE),"Merchant not found")</f>
        <v>Merchant_030</v>
      </c>
      <c r="J441" t="str">
        <f>_xlfn.IFNA(VLOOKUP(C441,merchants!$A$2:$D$41,3,FALSE),"Merchant not found")</f>
        <v>travel</v>
      </c>
      <c r="K441" t="str">
        <f>_xlfn.IFNA(VLOOKUP(C441,merchants!$A$2:$D$41,4,FALSE),"Merchant not found")</f>
        <v>West</v>
      </c>
      <c r="L441">
        <f t="shared" si="18"/>
        <v>46050</v>
      </c>
      <c r="M441">
        <f t="shared" si="19"/>
        <v>0</v>
      </c>
      <c r="N441" t="str">
        <f t="shared" si="20"/>
        <v>Standard</v>
      </c>
      <c r="O441">
        <f>HLOOKUP(F441,fee_lookup!$B$1:$E$2,2,FALSE)</f>
        <v>2E-3</v>
      </c>
    </row>
    <row r="442" spans="1:15" x14ac:dyDescent="0.3">
      <c r="A442" t="s">
        <v>1238</v>
      </c>
      <c r="B442" t="s">
        <v>1225</v>
      </c>
      <c r="C442" t="s">
        <v>80</v>
      </c>
      <c r="D442" t="s">
        <v>1239</v>
      </c>
      <c r="E442" t="s">
        <v>112</v>
      </c>
      <c r="F442" t="s">
        <v>154</v>
      </c>
      <c r="G442" t="s">
        <v>107</v>
      </c>
      <c r="H442" t="s">
        <v>46</v>
      </c>
      <c r="I442" t="str">
        <f>_xlfn.IFNA(VLOOKUP(C442,merchants!$A$2:$D$41,2,FALSE),"Merchant not found")</f>
        <v>Merchant_034</v>
      </c>
      <c r="J442" t="str">
        <f>_xlfn.IFNA(VLOOKUP(C442,merchants!$A$2:$D$41,3,FALSE),"Merchant not found")</f>
        <v>travel</v>
      </c>
      <c r="K442" t="str">
        <f>_xlfn.IFNA(VLOOKUP(C442,merchants!$A$2:$D$41,4,FALSE),"Merchant not found")</f>
        <v>South</v>
      </c>
      <c r="L442">
        <f t="shared" si="18"/>
        <v>46040</v>
      </c>
      <c r="M442">
        <f t="shared" si="19"/>
        <v>0</v>
      </c>
      <c r="N442" t="str">
        <f t="shared" si="20"/>
        <v>Standard</v>
      </c>
      <c r="O442">
        <f>HLOOKUP(F442,fee_lookup!$B$1:$E$2,2,FALSE)</f>
        <v>1.7999999999999999E-2</v>
      </c>
    </row>
    <row r="443" spans="1:15" x14ac:dyDescent="0.3">
      <c r="A443" t="s">
        <v>1240</v>
      </c>
      <c r="B443" t="s">
        <v>1241</v>
      </c>
      <c r="C443" t="s">
        <v>56</v>
      </c>
      <c r="D443" t="s">
        <v>1242</v>
      </c>
      <c r="E443" t="s">
        <v>274</v>
      </c>
      <c r="F443" t="s">
        <v>113</v>
      </c>
      <c r="G443" t="s">
        <v>107</v>
      </c>
      <c r="H443" t="s">
        <v>281</v>
      </c>
      <c r="I443" t="str">
        <f>_xlfn.IFNA(VLOOKUP(C443,merchants!$A$2:$D$41,2,FALSE),"Merchant not found")</f>
        <v>Merchant_022</v>
      </c>
      <c r="J443" t="str">
        <f>_xlfn.IFNA(VLOOKUP(C443,merchants!$A$2:$D$41,3,FALSE),"Merchant not found")</f>
        <v>travel</v>
      </c>
      <c r="K443" t="str">
        <f>_xlfn.IFNA(VLOOKUP(C443,merchants!$A$2:$D$41,4,FALSE),"Merchant not found")</f>
        <v>South</v>
      </c>
      <c r="L443">
        <f t="shared" si="18"/>
        <v>46035</v>
      </c>
      <c r="M443">
        <f t="shared" si="19"/>
        <v>0</v>
      </c>
      <c r="N443" t="str">
        <f t="shared" si="20"/>
        <v>Standard</v>
      </c>
      <c r="O443">
        <f>HLOOKUP(F443,fee_lookup!$B$1:$E$2,2,FALSE)</f>
        <v>2E-3</v>
      </c>
    </row>
    <row r="444" spans="1:15" x14ac:dyDescent="0.3">
      <c r="A444" t="s">
        <v>1243</v>
      </c>
      <c r="B444" t="s">
        <v>321</v>
      </c>
      <c r="C444" t="s">
        <v>20</v>
      </c>
      <c r="D444" t="s">
        <v>1244</v>
      </c>
      <c r="E444" t="s">
        <v>140</v>
      </c>
      <c r="F444" t="s">
        <v>106</v>
      </c>
      <c r="G444" t="s">
        <v>107</v>
      </c>
      <c r="H444" t="s">
        <v>263</v>
      </c>
      <c r="I444" t="str">
        <f>_xlfn.IFNA(VLOOKUP(C444,merchants!$A$2:$D$41,2,FALSE),"Merchant not found")</f>
        <v>Merchant_006</v>
      </c>
      <c r="J444" t="str">
        <f>_xlfn.IFNA(VLOOKUP(C444,merchants!$A$2:$D$41,3,FALSE),"Merchant not found")</f>
        <v>food_delivery</v>
      </c>
      <c r="K444" t="str">
        <f>_xlfn.IFNA(VLOOKUP(C444,merchants!$A$2:$D$41,4,FALSE),"Merchant not found")</f>
        <v>South</v>
      </c>
      <c r="L444">
        <f t="shared" si="18"/>
        <v>46025</v>
      </c>
      <c r="M444">
        <f t="shared" si="19"/>
        <v>0</v>
      </c>
      <c r="N444" t="str">
        <f t="shared" si="20"/>
        <v>Standard</v>
      </c>
      <c r="O444">
        <f>HLOOKUP(F444,fee_lookup!$B$1:$E$2,2,FALSE)</f>
        <v>0.01</v>
      </c>
    </row>
    <row r="445" spans="1:15" x14ac:dyDescent="0.3">
      <c r="A445" t="s">
        <v>1245</v>
      </c>
      <c r="B445" t="s">
        <v>334</v>
      </c>
      <c r="C445" t="s">
        <v>62</v>
      </c>
      <c r="D445" t="s">
        <v>1246</v>
      </c>
      <c r="E445" t="s">
        <v>145</v>
      </c>
      <c r="F445" t="s">
        <v>106</v>
      </c>
      <c r="G445" t="s">
        <v>107</v>
      </c>
      <c r="H445" t="s">
        <v>180</v>
      </c>
      <c r="I445" t="str">
        <f>_xlfn.IFNA(VLOOKUP(C445,merchants!$A$2:$D$41,2,FALSE),"Merchant not found")</f>
        <v>Merchant_025</v>
      </c>
      <c r="J445" t="str">
        <f>_xlfn.IFNA(VLOOKUP(C445,merchants!$A$2:$D$41,3,FALSE),"Merchant not found")</f>
        <v>travel</v>
      </c>
      <c r="K445" t="str">
        <f>_xlfn.IFNA(VLOOKUP(C445,merchants!$A$2:$D$41,4,FALSE),"Merchant not found")</f>
        <v>South</v>
      </c>
      <c r="L445">
        <f t="shared" si="18"/>
        <v>46046</v>
      </c>
      <c r="M445">
        <f t="shared" si="19"/>
        <v>0</v>
      </c>
      <c r="N445" t="str">
        <f t="shared" si="20"/>
        <v>Standard</v>
      </c>
      <c r="O445">
        <f>HLOOKUP(F445,fee_lookup!$B$1:$E$2,2,FALSE)</f>
        <v>0.01</v>
      </c>
    </row>
    <row r="446" spans="1:15" x14ac:dyDescent="0.3">
      <c r="A446" t="s">
        <v>1247</v>
      </c>
      <c r="B446" t="s">
        <v>89</v>
      </c>
      <c r="C446" t="s">
        <v>36</v>
      </c>
      <c r="D446" t="s">
        <v>1248</v>
      </c>
      <c r="E446" t="s">
        <v>274</v>
      </c>
      <c r="F446" t="s">
        <v>122</v>
      </c>
      <c r="G446" t="s">
        <v>107</v>
      </c>
      <c r="H446" t="s">
        <v>506</v>
      </c>
      <c r="I446" t="str">
        <f>_xlfn.IFNA(VLOOKUP(C446,merchants!$A$2:$D$41,2,FALSE),"Merchant not found")</f>
        <v>Merchant_013</v>
      </c>
      <c r="J446" t="str">
        <f>_xlfn.IFNA(VLOOKUP(C446,merchants!$A$2:$D$41,3,FALSE),"Merchant not found")</f>
        <v>travel</v>
      </c>
      <c r="K446" t="str">
        <f>_xlfn.IFNA(VLOOKUP(C446,merchants!$A$2:$D$41,4,FALSE),"Merchant not found")</f>
        <v>East</v>
      </c>
      <c r="L446">
        <f t="shared" si="18"/>
        <v>46042</v>
      </c>
      <c r="M446">
        <f t="shared" si="19"/>
        <v>0</v>
      </c>
      <c r="N446" t="str">
        <f t="shared" si="20"/>
        <v>Standard</v>
      </c>
      <c r="O446">
        <f>HLOOKUP(F446,fee_lookup!$B$1:$E$2,2,FALSE)</f>
        <v>1.2E-2</v>
      </c>
    </row>
    <row r="447" spans="1:15" x14ac:dyDescent="0.3">
      <c r="A447" t="s">
        <v>1249</v>
      </c>
      <c r="B447" t="s">
        <v>110</v>
      </c>
      <c r="C447" t="s">
        <v>39</v>
      </c>
      <c r="D447" t="s">
        <v>1250</v>
      </c>
      <c r="E447" t="s">
        <v>127</v>
      </c>
      <c r="F447" t="s">
        <v>106</v>
      </c>
      <c r="G447" t="s">
        <v>107</v>
      </c>
      <c r="H447" t="s">
        <v>259</v>
      </c>
      <c r="I447" t="str">
        <f>_xlfn.IFNA(VLOOKUP(C447,merchants!$A$2:$D$41,2,FALSE),"Merchant not found")</f>
        <v>Merchant_014</v>
      </c>
      <c r="J447" t="str">
        <f>_xlfn.IFNA(VLOOKUP(C447,merchants!$A$2:$D$41,3,FALSE),"Merchant not found")</f>
        <v>grocery</v>
      </c>
      <c r="K447" t="str">
        <f>_xlfn.IFNA(VLOOKUP(C447,merchants!$A$2:$D$41,4,FALSE),"Merchant not found")</f>
        <v>East</v>
      </c>
      <c r="L447">
        <f t="shared" si="18"/>
        <v>46041</v>
      </c>
      <c r="M447">
        <f t="shared" si="19"/>
        <v>0</v>
      </c>
      <c r="N447" t="str">
        <f t="shared" si="20"/>
        <v>Standard</v>
      </c>
      <c r="O447">
        <f>HLOOKUP(F447,fee_lookup!$B$1:$E$2,2,FALSE)</f>
        <v>0.01</v>
      </c>
    </row>
    <row r="448" spans="1:15" x14ac:dyDescent="0.3">
      <c r="A448" t="s">
        <v>1251</v>
      </c>
      <c r="B448" t="s">
        <v>25</v>
      </c>
      <c r="C448" t="s">
        <v>39</v>
      </c>
      <c r="D448" t="s">
        <v>1252</v>
      </c>
      <c r="E448" t="s">
        <v>112</v>
      </c>
      <c r="F448" t="s">
        <v>113</v>
      </c>
      <c r="G448" t="s">
        <v>107</v>
      </c>
      <c r="H448" t="s">
        <v>60</v>
      </c>
      <c r="I448" t="str">
        <f>_xlfn.IFNA(VLOOKUP(C448,merchants!$A$2:$D$41,2,FALSE),"Merchant not found")</f>
        <v>Merchant_014</v>
      </c>
      <c r="J448" t="str">
        <f>_xlfn.IFNA(VLOOKUP(C448,merchants!$A$2:$D$41,3,FALSE),"Merchant not found")</f>
        <v>grocery</v>
      </c>
      <c r="K448" t="str">
        <f>_xlfn.IFNA(VLOOKUP(C448,merchants!$A$2:$D$41,4,FALSE),"Merchant not found")</f>
        <v>East</v>
      </c>
      <c r="L448">
        <f t="shared" si="18"/>
        <v>46029</v>
      </c>
      <c r="M448">
        <f t="shared" si="19"/>
        <v>0</v>
      </c>
      <c r="N448" t="str">
        <f t="shared" si="20"/>
        <v>Standard</v>
      </c>
      <c r="O448">
        <f>HLOOKUP(F448,fee_lookup!$B$1:$E$2,2,FALSE)</f>
        <v>2E-3</v>
      </c>
    </row>
    <row r="449" spans="1:15" x14ac:dyDescent="0.3">
      <c r="A449" t="s">
        <v>1253</v>
      </c>
      <c r="B449" t="s">
        <v>390</v>
      </c>
      <c r="C449" t="s">
        <v>43</v>
      </c>
      <c r="D449" t="s">
        <v>1254</v>
      </c>
      <c r="E449" t="s">
        <v>118</v>
      </c>
      <c r="F449" t="s">
        <v>106</v>
      </c>
      <c r="G449" t="s">
        <v>107</v>
      </c>
      <c r="H449" t="s">
        <v>385</v>
      </c>
      <c r="I449" t="str">
        <f>_xlfn.IFNA(VLOOKUP(C449,merchants!$A$2:$D$41,2,FALSE),"Merchant not found")</f>
        <v>Merchant_016</v>
      </c>
      <c r="J449" t="str">
        <f>_xlfn.IFNA(VLOOKUP(C449,merchants!$A$2:$D$41,3,FALSE),"Merchant not found")</f>
        <v>bill_payment</v>
      </c>
      <c r="K449" t="str">
        <f>_xlfn.IFNA(VLOOKUP(C449,merchants!$A$2:$D$41,4,FALSE),"Merchant not found")</f>
        <v>West</v>
      </c>
      <c r="L449">
        <f t="shared" si="18"/>
        <v>46046</v>
      </c>
      <c r="M449">
        <f t="shared" si="19"/>
        <v>0</v>
      </c>
      <c r="N449" t="str">
        <f t="shared" si="20"/>
        <v>Standard</v>
      </c>
      <c r="O449">
        <f>HLOOKUP(F449,fee_lookup!$B$1:$E$2,2,FALSE)</f>
        <v>0.01</v>
      </c>
    </row>
    <row r="450" spans="1:15" x14ac:dyDescent="0.3">
      <c r="A450" t="s">
        <v>1255</v>
      </c>
      <c r="B450" t="s">
        <v>906</v>
      </c>
      <c r="C450" t="s">
        <v>43</v>
      </c>
      <c r="D450" t="s">
        <v>1256</v>
      </c>
      <c r="E450" t="s">
        <v>227</v>
      </c>
      <c r="F450" t="s">
        <v>113</v>
      </c>
      <c r="G450" t="s">
        <v>107</v>
      </c>
      <c r="H450" t="s">
        <v>176</v>
      </c>
      <c r="I450" t="str">
        <f>_xlfn.IFNA(VLOOKUP(C450,merchants!$A$2:$D$41,2,FALSE),"Merchant not found")</f>
        <v>Merchant_016</v>
      </c>
      <c r="J450" t="str">
        <f>_xlfn.IFNA(VLOOKUP(C450,merchants!$A$2:$D$41,3,FALSE),"Merchant not found")</f>
        <v>bill_payment</v>
      </c>
      <c r="K450" t="str">
        <f>_xlfn.IFNA(VLOOKUP(C450,merchants!$A$2:$D$41,4,FALSE),"Merchant not found")</f>
        <v>West</v>
      </c>
      <c r="L450">
        <f t="shared" ref="L450:L513" si="21">DATE(LEFT(D450,4),MID(D450,6,2),MID(D450,9,2))</f>
        <v>46042</v>
      </c>
      <c r="M450">
        <f t="shared" ref="M450:M513" si="22">SUMIFS($E:$E,$C:$C,C450,$L:$L,L450)</f>
        <v>0</v>
      </c>
      <c r="N450" t="str">
        <f t="shared" ref="N450:N513" si="23">IF(AND(M450&gt;5000,K450&lt;&gt;"East"),"High-Value Merchant Day","Standard")</f>
        <v>Standard</v>
      </c>
      <c r="O450">
        <f>HLOOKUP(F450,fee_lookup!$B$1:$E$2,2,FALSE)</f>
        <v>2E-3</v>
      </c>
    </row>
    <row r="451" spans="1:15" x14ac:dyDescent="0.3">
      <c r="A451" t="s">
        <v>1257</v>
      </c>
      <c r="B451" t="s">
        <v>1258</v>
      </c>
      <c r="C451" t="s">
        <v>82</v>
      </c>
      <c r="D451" t="s">
        <v>1259</v>
      </c>
      <c r="E451" t="s">
        <v>274</v>
      </c>
      <c r="F451" t="s">
        <v>113</v>
      </c>
      <c r="G451" t="s">
        <v>107</v>
      </c>
      <c r="H451" t="s">
        <v>519</v>
      </c>
      <c r="I451" t="str">
        <f>_xlfn.IFNA(VLOOKUP(C451,merchants!$A$2:$D$41,2,FALSE),"Merchant not found")</f>
        <v>Merchant_035</v>
      </c>
      <c r="J451" t="str">
        <f>_xlfn.IFNA(VLOOKUP(C451,merchants!$A$2:$D$41,3,FALSE),"Merchant not found")</f>
        <v>recharge</v>
      </c>
      <c r="K451" t="str">
        <f>_xlfn.IFNA(VLOOKUP(C451,merchants!$A$2:$D$41,4,FALSE),"Merchant not found")</f>
        <v>East</v>
      </c>
      <c r="L451">
        <f t="shared" si="21"/>
        <v>46033</v>
      </c>
      <c r="M451">
        <f t="shared" si="22"/>
        <v>0</v>
      </c>
      <c r="N451" t="str">
        <f t="shared" si="23"/>
        <v>Standard</v>
      </c>
      <c r="O451">
        <f>HLOOKUP(F451,fee_lookup!$B$1:$E$2,2,FALSE)</f>
        <v>2E-3</v>
      </c>
    </row>
    <row r="452" spans="1:15" x14ac:dyDescent="0.3">
      <c r="A452" t="s">
        <v>1260</v>
      </c>
      <c r="B452" t="s">
        <v>968</v>
      </c>
      <c r="C452" t="s">
        <v>78</v>
      </c>
      <c r="D452" t="s">
        <v>1261</v>
      </c>
      <c r="E452" t="s">
        <v>145</v>
      </c>
      <c r="F452" t="s">
        <v>113</v>
      </c>
      <c r="G452" t="s">
        <v>107</v>
      </c>
      <c r="H452" t="s">
        <v>222</v>
      </c>
      <c r="I452" t="str">
        <f>_xlfn.IFNA(VLOOKUP(C452,merchants!$A$2:$D$41,2,FALSE),"Merchant not found")</f>
        <v>Merchant_033</v>
      </c>
      <c r="J452" t="str">
        <f>_xlfn.IFNA(VLOOKUP(C452,merchants!$A$2:$D$41,3,FALSE),"Merchant not found")</f>
        <v>bill_payment</v>
      </c>
      <c r="K452" t="str">
        <f>_xlfn.IFNA(VLOOKUP(C452,merchants!$A$2:$D$41,4,FALSE),"Merchant not found")</f>
        <v>East</v>
      </c>
      <c r="L452">
        <f t="shared" si="21"/>
        <v>46034</v>
      </c>
      <c r="M452">
        <f t="shared" si="22"/>
        <v>0</v>
      </c>
      <c r="N452" t="str">
        <f t="shared" si="23"/>
        <v>Standard</v>
      </c>
      <c r="O452">
        <f>HLOOKUP(F452,fee_lookup!$B$1:$E$2,2,FALSE)</f>
        <v>2E-3</v>
      </c>
    </row>
    <row r="453" spans="1:15" x14ac:dyDescent="0.3">
      <c r="A453" t="s">
        <v>1262</v>
      </c>
      <c r="B453" t="s">
        <v>417</v>
      </c>
      <c r="C453" t="s">
        <v>54</v>
      </c>
      <c r="D453" t="s">
        <v>1263</v>
      </c>
      <c r="E453" t="s">
        <v>145</v>
      </c>
      <c r="F453" t="s">
        <v>154</v>
      </c>
      <c r="G453" t="s">
        <v>107</v>
      </c>
      <c r="H453" t="s">
        <v>64</v>
      </c>
      <c r="I453" t="str">
        <f>_xlfn.IFNA(VLOOKUP(C453,merchants!$A$2:$D$41,2,FALSE),"Merchant not found")</f>
        <v>Merchant_021</v>
      </c>
      <c r="J453" t="str">
        <f>_xlfn.IFNA(VLOOKUP(C453,merchants!$A$2:$D$41,3,FALSE),"Merchant not found")</f>
        <v>food_delivery</v>
      </c>
      <c r="K453" t="str">
        <f>_xlfn.IFNA(VLOOKUP(C453,merchants!$A$2:$D$41,4,FALSE),"Merchant not found")</f>
        <v>East</v>
      </c>
      <c r="L453">
        <f t="shared" si="21"/>
        <v>46037</v>
      </c>
      <c r="M453">
        <f t="shared" si="22"/>
        <v>0</v>
      </c>
      <c r="N453" t="str">
        <f t="shared" si="23"/>
        <v>Standard</v>
      </c>
      <c r="O453">
        <f>HLOOKUP(F453,fee_lookup!$B$1:$E$2,2,FALSE)</f>
        <v>1.7999999999999999E-2</v>
      </c>
    </row>
    <row r="454" spans="1:15" x14ac:dyDescent="0.3">
      <c r="A454" t="s">
        <v>1264</v>
      </c>
      <c r="B454" t="s">
        <v>60</v>
      </c>
      <c r="C454" t="s">
        <v>87</v>
      </c>
      <c r="D454" t="s">
        <v>1265</v>
      </c>
      <c r="E454" t="s">
        <v>227</v>
      </c>
      <c r="F454" t="s">
        <v>113</v>
      </c>
      <c r="G454" t="s">
        <v>107</v>
      </c>
      <c r="H454" t="s">
        <v>68</v>
      </c>
      <c r="I454" t="str">
        <f>_xlfn.IFNA(VLOOKUP(C454,merchants!$A$2:$D$41,2,FALSE),"Merchant not found")</f>
        <v>Merchant_037</v>
      </c>
      <c r="J454" t="str">
        <f>_xlfn.IFNA(VLOOKUP(C454,merchants!$A$2:$D$41,3,FALSE),"Merchant not found")</f>
        <v>entertainment</v>
      </c>
      <c r="K454" t="str">
        <f>_xlfn.IFNA(VLOOKUP(C454,merchants!$A$2:$D$41,4,FALSE),"Merchant not found")</f>
        <v>South</v>
      </c>
      <c r="L454">
        <f t="shared" si="21"/>
        <v>46034</v>
      </c>
      <c r="M454">
        <f t="shared" si="22"/>
        <v>0</v>
      </c>
      <c r="N454" t="str">
        <f t="shared" si="23"/>
        <v>Standard</v>
      </c>
      <c r="O454">
        <f>HLOOKUP(F454,fee_lookup!$B$1:$E$2,2,FALSE)</f>
        <v>2E-3</v>
      </c>
    </row>
    <row r="455" spans="1:15" x14ac:dyDescent="0.3">
      <c r="A455" t="s">
        <v>1266</v>
      </c>
      <c r="B455" t="s">
        <v>148</v>
      </c>
      <c r="C455" t="s">
        <v>84</v>
      </c>
      <c r="D455" t="s">
        <v>1267</v>
      </c>
      <c r="E455" t="s">
        <v>118</v>
      </c>
      <c r="F455" t="s">
        <v>113</v>
      </c>
      <c r="G455" t="s">
        <v>107</v>
      </c>
      <c r="H455" t="s">
        <v>150</v>
      </c>
      <c r="I455" t="str">
        <f>_xlfn.IFNA(VLOOKUP(C455,merchants!$A$2:$D$41,2,FALSE),"Merchant not found")</f>
        <v>Merchant_036</v>
      </c>
      <c r="J455" t="str">
        <f>_xlfn.IFNA(VLOOKUP(C455,merchants!$A$2:$D$41,3,FALSE),"Merchant not found")</f>
        <v>entertainment</v>
      </c>
      <c r="K455" t="str">
        <f>_xlfn.IFNA(VLOOKUP(C455,merchants!$A$2:$D$41,4,FALSE),"Merchant not found")</f>
        <v>East</v>
      </c>
      <c r="L455">
        <f t="shared" si="21"/>
        <v>46046</v>
      </c>
      <c r="M455">
        <f t="shared" si="22"/>
        <v>0</v>
      </c>
      <c r="N455" t="str">
        <f t="shared" si="23"/>
        <v>Standard</v>
      </c>
      <c r="O455">
        <f>HLOOKUP(F455,fee_lookup!$B$1:$E$2,2,FALSE)</f>
        <v>2E-3</v>
      </c>
    </row>
    <row r="456" spans="1:15" x14ac:dyDescent="0.3">
      <c r="A456" t="s">
        <v>1268</v>
      </c>
      <c r="B456" t="s">
        <v>563</v>
      </c>
      <c r="C456" t="s">
        <v>30</v>
      </c>
      <c r="D456" t="s">
        <v>1269</v>
      </c>
      <c r="E456" t="s">
        <v>220</v>
      </c>
      <c r="F456" t="s">
        <v>106</v>
      </c>
      <c r="G456" t="s">
        <v>107</v>
      </c>
      <c r="H456" t="s">
        <v>62</v>
      </c>
      <c r="I456" t="str">
        <f>_xlfn.IFNA(VLOOKUP(C456,merchants!$A$2:$D$41,2,FALSE),"Merchant not found")</f>
        <v>Merchant_010</v>
      </c>
      <c r="J456" t="str">
        <f>_xlfn.IFNA(VLOOKUP(C456,merchants!$A$2:$D$41,3,FALSE),"Merchant not found")</f>
        <v>grocery</v>
      </c>
      <c r="K456" t="str">
        <f>_xlfn.IFNA(VLOOKUP(C456,merchants!$A$2:$D$41,4,FALSE),"Merchant not found")</f>
        <v>West</v>
      </c>
      <c r="L456">
        <f t="shared" si="21"/>
        <v>46041</v>
      </c>
      <c r="M456">
        <f t="shared" si="22"/>
        <v>0</v>
      </c>
      <c r="N456" t="str">
        <f t="shared" si="23"/>
        <v>Standard</v>
      </c>
      <c r="O456">
        <f>HLOOKUP(F456,fee_lookup!$B$1:$E$2,2,FALSE)</f>
        <v>0.01</v>
      </c>
    </row>
    <row r="457" spans="1:15" x14ac:dyDescent="0.3">
      <c r="A457" t="s">
        <v>1270</v>
      </c>
      <c r="B457" t="s">
        <v>182</v>
      </c>
      <c r="C457" t="s">
        <v>43</v>
      </c>
      <c r="D457" t="s">
        <v>1271</v>
      </c>
      <c r="E457" t="s">
        <v>220</v>
      </c>
      <c r="F457" t="s">
        <v>122</v>
      </c>
      <c r="G457" t="s">
        <v>107</v>
      </c>
      <c r="H457" t="s">
        <v>222</v>
      </c>
      <c r="I457" t="str">
        <f>_xlfn.IFNA(VLOOKUP(C457,merchants!$A$2:$D$41,2,FALSE),"Merchant not found")</f>
        <v>Merchant_016</v>
      </c>
      <c r="J457" t="str">
        <f>_xlfn.IFNA(VLOOKUP(C457,merchants!$A$2:$D$41,3,FALSE),"Merchant not found")</f>
        <v>bill_payment</v>
      </c>
      <c r="K457" t="str">
        <f>_xlfn.IFNA(VLOOKUP(C457,merchants!$A$2:$D$41,4,FALSE),"Merchant not found")</f>
        <v>West</v>
      </c>
      <c r="L457">
        <f t="shared" si="21"/>
        <v>46033</v>
      </c>
      <c r="M457">
        <f t="shared" si="22"/>
        <v>0</v>
      </c>
      <c r="N457" t="str">
        <f t="shared" si="23"/>
        <v>Standard</v>
      </c>
      <c r="O457">
        <f>HLOOKUP(F457,fee_lookup!$B$1:$E$2,2,FALSE)</f>
        <v>1.2E-2</v>
      </c>
    </row>
    <row r="458" spans="1:15" x14ac:dyDescent="0.3">
      <c r="A458" t="s">
        <v>1272</v>
      </c>
      <c r="B458" t="s">
        <v>1133</v>
      </c>
      <c r="C458" t="s">
        <v>46</v>
      </c>
      <c r="D458" t="s">
        <v>1273</v>
      </c>
      <c r="E458" t="s">
        <v>127</v>
      </c>
      <c r="F458" t="s">
        <v>122</v>
      </c>
      <c r="G458" t="s">
        <v>107</v>
      </c>
      <c r="H458" t="s">
        <v>506</v>
      </c>
      <c r="I458" t="str">
        <f>_xlfn.IFNA(VLOOKUP(C458,merchants!$A$2:$D$41,2,FALSE),"Merchant not found")</f>
        <v>Merchant_017</v>
      </c>
      <c r="J458" t="str">
        <f>_xlfn.IFNA(VLOOKUP(C458,merchants!$A$2:$D$41,3,FALSE),"Merchant not found")</f>
        <v>grocery</v>
      </c>
      <c r="K458" t="str">
        <f>_xlfn.IFNA(VLOOKUP(C458,merchants!$A$2:$D$41,4,FALSE),"Merchant not found")</f>
        <v>North</v>
      </c>
      <c r="L458">
        <f t="shared" si="21"/>
        <v>46040</v>
      </c>
      <c r="M458">
        <f t="shared" si="22"/>
        <v>0</v>
      </c>
      <c r="N458" t="str">
        <f t="shared" si="23"/>
        <v>Standard</v>
      </c>
      <c r="O458">
        <f>HLOOKUP(F458,fee_lookup!$B$1:$E$2,2,FALSE)</f>
        <v>1.2E-2</v>
      </c>
    </row>
    <row r="459" spans="1:15" x14ac:dyDescent="0.3">
      <c r="A459" t="s">
        <v>1274</v>
      </c>
      <c r="B459" t="s">
        <v>842</v>
      </c>
      <c r="C459" t="s">
        <v>76</v>
      </c>
      <c r="D459" t="s">
        <v>1275</v>
      </c>
      <c r="E459" t="s">
        <v>118</v>
      </c>
      <c r="F459" t="s">
        <v>113</v>
      </c>
      <c r="G459" t="s">
        <v>107</v>
      </c>
      <c r="H459" t="s">
        <v>463</v>
      </c>
      <c r="I459" t="str">
        <f>_xlfn.IFNA(VLOOKUP(C459,merchants!$A$2:$D$41,2,FALSE),"Merchant not found")</f>
        <v>Merchant_032</v>
      </c>
      <c r="J459" t="str">
        <f>_xlfn.IFNA(VLOOKUP(C459,merchants!$A$2:$D$41,3,FALSE),"Merchant not found")</f>
        <v>food_delivery</v>
      </c>
      <c r="K459" t="str">
        <f>_xlfn.IFNA(VLOOKUP(C459,merchants!$A$2:$D$41,4,FALSE),"Merchant not found")</f>
        <v>West</v>
      </c>
      <c r="L459">
        <f t="shared" si="21"/>
        <v>46049</v>
      </c>
      <c r="M459">
        <f t="shared" si="22"/>
        <v>0</v>
      </c>
      <c r="N459" t="str">
        <f t="shared" si="23"/>
        <v>Standard</v>
      </c>
      <c r="O459">
        <f>HLOOKUP(F459,fee_lookup!$B$1:$E$2,2,FALSE)</f>
        <v>2E-3</v>
      </c>
    </row>
    <row r="460" spans="1:15" x14ac:dyDescent="0.3">
      <c r="A460" t="s">
        <v>1276</v>
      </c>
      <c r="B460" t="s">
        <v>929</v>
      </c>
      <c r="C460" t="s">
        <v>32</v>
      </c>
      <c r="D460" t="s">
        <v>1277</v>
      </c>
      <c r="E460" t="s">
        <v>118</v>
      </c>
      <c r="F460" t="s">
        <v>113</v>
      </c>
      <c r="G460" t="s">
        <v>107</v>
      </c>
      <c r="H460" t="s">
        <v>46</v>
      </c>
      <c r="I460" t="str">
        <f>_xlfn.IFNA(VLOOKUP(C460,merchants!$A$2:$D$41,2,FALSE),"Merchant not found")</f>
        <v>Merchant_011</v>
      </c>
      <c r="J460" t="str">
        <f>_xlfn.IFNA(VLOOKUP(C460,merchants!$A$2:$D$41,3,FALSE),"Merchant not found")</f>
        <v>ecommerce</v>
      </c>
      <c r="K460" t="str">
        <f>_xlfn.IFNA(VLOOKUP(C460,merchants!$A$2:$D$41,4,FALSE),"Merchant not found")</f>
        <v>North</v>
      </c>
      <c r="L460">
        <f t="shared" si="21"/>
        <v>46028</v>
      </c>
      <c r="M460">
        <f t="shared" si="22"/>
        <v>0</v>
      </c>
      <c r="N460" t="str">
        <f t="shared" si="23"/>
        <v>Standard</v>
      </c>
      <c r="O460">
        <f>HLOOKUP(F460,fee_lookup!$B$1:$E$2,2,FALSE)</f>
        <v>2E-3</v>
      </c>
    </row>
    <row r="461" spans="1:15" x14ac:dyDescent="0.3">
      <c r="A461" t="s">
        <v>1278</v>
      </c>
      <c r="B461" t="s">
        <v>367</v>
      </c>
      <c r="C461" t="s">
        <v>82</v>
      </c>
      <c r="D461" t="s">
        <v>1279</v>
      </c>
      <c r="E461" t="s">
        <v>227</v>
      </c>
      <c r="F461" t="s">
        <v>106</v>
      </c>
      <c r="G461" t="s">
        <v>107</v>
      </c>
      <c r="H461" t="s">
        <v>281</v>
      </c>
      <c r="I461" t="str">
        <f>_xlfn.IFNA(VLOOKUP(C461,merchants!$A$2:$D$41,2,FALSE),"Merchant not found")</f>
        <v>Merchant_035</v>
      </c>
      <c r="J461" t="str">
        <f>_xlfn.IFNA(VLOOKUP(C461,merchants!$A$2:$D$41,3,FALSE),"Merchant not found")</f>
        <v>recharge</v>
      </c>
      <c r="K461" t="str">
        <f>_xlfn.IFNA(VLOOKUP(C461,merchants!$A$2:$D$41,4,FALSE),"Merchant not found")</f>
        <v>East</v>
      </c>
      <c r="L461">
        <f t="shared" si="21"/>
        <v>46046</v>
      </c>
      <c r="M461">
        <f t="shared" si="22"/>
        <v>0</v>
      </c>
      <c r="N461" t="str">
        <f t="shared" si="23"/>
        <v>Standard</v>
      </c>
      <c r="O461">
        <f>HLOOKUP(F461,fee_lookup!$B$1:$E$2,2,FALSE)</f>
        <v>0.01</v>
      </c>
    </row>
    <row r="462" spans="1:15" x14ac:dyDescent="0.3">
      <c r="A462" t="s">
        <v>1280</v>
      </c>
      <c r="B462" t="s">
        <v>91</v>
      </c>
      <c r="C462" t="s">
        <v>15</v>
      </c>
      <c r="D462" t="s">
        <v>1281</v>
      </c>
      <c r="E462" t="s">
        <v>227</v>
      </c>
      <c r="F462" t="s">
        <v>122</v>
      </c>
      <c r="G462" t="s">
        <v>107</v>
      </c>
      <c r="H462" t="s">
        <v>506</v>
      </c>
      <c r="I462" t="str">
        <f>_xlfn.IFNA(VLOOKUP(C462,merchants!$A$2:$D$41,2,FALSE),"Merchant not found")</f>
        <v>Merchant_004</v>
      </c>
      <c r="J462" t="str">
        <f>_xlfn.IFNA(VLOOKUP(C462,merchants!$A$2:$D$41,3,FALSE),"Merchant not found")</f>
        <v>ecommerce</v>
      </c>
      <c r="K462" t="str">
        <f>_xlfn.IFNA(VLOOKUP(C462,merchants!$A$2:$D$41,4,FALSE),"Merchant not found")</f>
        <v>East</v>
      </c>
      <c r="L462">
        <f t="shared" si="21"/>
        <v>46024</v>
      </c>
      <c r="M462">
        <f t="shared" si="22"/>
        <v>0</v>
      </c>
      <c r="N462" t="str">
        <f t="shared" si="23"/>
        <v>Standard</v>
      </c>
      <c r="O462">
        <f>HLOOKUP(F462,fee_lookup!$B$1:$E$2,2,FALSE)</f>
        <v>1.2E-2</v>
      </c>
    </row>
    <row r="463" spans="1:15" x14ac:dyDescent="0.3">
      <c r="A463" t="s">
        <v>1282</v>
      </c>
      <c r="B463" t="s">
        <v>476</v>
      </c>
      <c r="C463" t="s">
        <v>41</v>
      </c>
      <c r="D463" t="s">
        <v>1283</v>
      </c>
      <c r="E463" t="s">
        <v>220</v>
      </c>
      <c r="F463" t="s">
        <v>113</v>
      </c>
      <c r="G463" t="s">
        <v>107</v>
      </c>
      <c r="H463" t="s">
        <v>25</v>
      </c>
      <c r="I463" t="str">
        <f>_xlfn.IFNA(VLOOKUP(C463,merchants!$A$2:$D$41,2,FALSE),"Merchant not found")</f>
        <v>Merchant_015</v>
      </c>
      <c r="J463" t="str">
        <f>_xlfn.IFNA(VLOOKUP(C463,merchants!$A$2:$D$41,3,FALSE),"Merchant not found")</f>
        <v>travel</v>
      </c>
      <c r="K463" t="str">
        <f>_xlfn.IFNA(VLOOKUP(C463,merchants!$A$2:$D$41,4,FALSE),"Merchant not found")</f>
        <v>North</v>
      </c>
      <c r="L463">
        <f t="shared" si="21"/>
        <v>46023</v>
      </c>
      <c r="M463">
        <f t="shared" si="22"/>
        <v>0</v>
      </c>
      <c r="N463" t="str">
        <f t="shared" si="23"/>
        <v>Standard</v>
      </c>
      <c r="O463">
        <f>HLOOKUP(F463,fee_lookup!$B$1:$E$2,2,FALSE)</f>
        <v>2E-3</v>
      </c>
    </row>
    <row r="464" spans="1:15" x14ac:dyDescent="0.3">
      <c r="A464" t="s">
        <v>1284</v>
      </c>
      <c r="B464" t="s">
        <v>1178</v>
      </c>
      <c r="C464" t="s">
        <v>78</v>
      </c>
      <c r="D464" t="s">
        <v>1285</v>
      </c>
      <c r="E464" t="s">
        <v>112</v>
      </c>
      <c r="F464" t="s">
        <v>122</v>
      </c>
      <c r="G464" t="s">
        <v>107</v>
      </c>
      <c r="H464" t="s">
        <v>463</v>
      </c>
      <c r="I464" t="str">
        <f>_xlfn.IFNA(VLOOKUP(C464,merchants!$A$2:$D$41,2,FALSE),"Merchant not found")</f>
        <v>Merchant_033</v>
      </c>
      <c r="J464" t="str">
        <f>_xlfn.IFNA(VLOOKUP(C464,merchants!$A$2:$D$41,3,FALSE),"Merchant not found")</f>
        <v>bill_payment</v>
      </c>
      <c r="K464" t="str">
        <f>_xlfn.IFNA(VLOOKUP(C464,merchants!$A$2:$D$41,4,FALSE),"Merchant not found")</f>
        <v>East</v>
      </c>
      <c r="L464">
        <f t="shared" si="21"/>
        <v>46045</v>
      </c>
      <c r="M464">
        <f t="shared" si="22"/>
        <v>0</v>
      </c>
      <c r="N464" t="str">
        <f t="shared" si="23"/>
        <v>Standard</v>
      </c>
      <c r="O464">
        <f>HLOOKUP(F464,fee_lookup!$B$1:$E$2,2,FALSE)</f>
        <v>1.2E-2</v>
      </c>
    </row>
    <row r="465" spans="1:15" x14ac:dyDescent="0.3">
      <c r="A465" t="s">
        <v>1286</v>
      </c>
      <c r="B465" t="s">
        <v>236</v>
      </c>
      <c r="C465" t="s">
        <v>93</v>
      </c>
      <c r="D465" t="s">
        <v>1287</v>
      </c>
      <c r="E465" t="s">
        <v>127</v>
      </c>
      <c r="F465" t="s">
        <v>113</v>
      </c>
      <c r="G465" t="s">
        <v>107</v>
      </c>
      <c r="H465" t="s">
        <v>259</v>
      </c>
      <c r="I465" t="str">
        <f>_xlfn.IFNA(VLOOKUP(C465,merchants!$A$2:$D$41,2,FALSE),"Merchant not found")</f>
        <v>Merchant_040</v>
      </c>
      <c r="J465" t="str">
        <f>_xlfn.IFNA(VLOOKUP(C465,merchants!$A$2:$D$41,3,FALSE),"Merchant not found")</f>
        <v>entertainment</v>
      </c>
      <c r="K465" t="str">
        <f>_xlfn.IFNA(VLOOKUP(C465,merchants!$A$2:$D$41,4,FALSE),"Merchant not found")</f>
        <v>South</v>
      </c>
      <c r="L465">
        <f t="shared" si="21"/>
        <v>46034</v>
      </c>
      <c r="M465">
        <f t="shared" si="22"/>
        <v>0</v>
      </c>
      <c r="N465" t="str">
        <f t="shared" si="23"/>
        <v>Standard</v>
      </c>
      <c r="O465">
        <f>HLOOKUP(F465,fee_lookup!$B$1:$E$2,2,FALSE)</f>
        <v>2E-3</v>
      </c>
    </row>
    <row r="466" spans="1:15" x14ac:dyDescent="0.3">
      <c r="A466" t="s">
        <v>1288</v>
      </c>
      <c r="B466" t="s">
        <v>15</v>
      </c>
      <c r="C466" t="s">
        <v>82</v>
      </c>
      <c r="D466" t="s">
        <v>1289</v>
      </c>
      <c r="E466" t="s">
        <v>145</v>
      </c>
      <c r="F466" t="s">
        <v>113</v>
      </c>
      <c r="G466" t="s">
        <v>107</v>
      </c>
      <c r="H466" t="s">
        <v>176</v>
      </c>
      <c r="I466" t="str">
        <f>_xlfn.IFNA(VLOOKUP(C466,merchants!$A$2:$D$41,2,FALSE),"Merchant not found")</f>
        <v>Merchant_035</v>
      </c>
      <c r="J466" t="str">
        <f>_xlfn.IFNA(VLOOKUP(C466,merchants!$A$2:$D$41,3,FALSE),"Merchant not found")</f>
        <v>recharge</v>
      </c>
      <c r="K466" t="str">
        <f>_xlfn.IFNA(VLOOKUP(C466,merchants!$A$2:$D$41,4,FALSE),"Merchant not found")</f>
        <v>East</v>
      </c>
      <c r="L466">
        <f t="shared" si="21"/>
        <v>46044</v>
      </c>
      <c r="M466">
        <f t="shared" si="22"/>
        <v>0</v>
      </c>
      <c r="N466" t="str">
        <f t="shared" si="23"/>
        <v>Standard</v>
      </c>
      <c r="O466">
        <f>HLOOKUP(F466,fee_lookup!$B$1:$E$2,2,FALSE)</f>
        <v>2E-3</v>
      </c>
    </row>
    <row r="467" spans="1:15" x14ac:dyDescent="0.3">
      <c r="A467" t="s">
        <v>1290</v>
      </c>
      <c r="B467" t="s">
        <v>225</v>
      </c>
      <c r="C467" t="s">
        <v>48</v>
      </c>
      <c r="D467" t="s">
        <v>1291</v>
      </c>
      <c r="E467" t="s">
        <v>227</v>
      </c>
      <c r="F467" t="s">
        <v>113</v>
      </c>
      <c r="G467" t="s">
        <v>107</v>
      </c>
      <c r="H467" t="s">
        <v>263</v>
      </c>
      <c r="I467" t="str">
        <f>_xlfn.IFNA(VLOOKUP(C467,merchants!$A$2:$D$41,2,FALSE),"Merchant not found")</f>
        <v>Merchant_018</v>
      </c>
      <c r="J467" t="str">
        <f>_xlfn.IFNA(VLOOKUP(C467,merchants!$A$2:$D$41,3,FALSE),"Merchant not found")</f>
        <v>grocery</v>
      </c>
      <c r="K467" t="str">
        <f>_xlfn.IFNA(VLOOKUP(C467,merchants!$A$2:$D$41,4,FALSE),"Merchant not found")</f>
        <v>West</v>
      </c>
      <c r="L467">
        <f t="shared" si="21"/>
        <v>46036</v>
      </c>
      <c r="M467">
        <f t="shared" si="22"/>
        <v>0</v>
      </c>
      <c r="N467" t="str">
        <f t="shared" si="23"/>
        <v>Standard</v>
      </c>
      <c r="O467">
        <f>HLOOKUP(F467,fee_lookup!$B$1:$E$2,2,FALSE)</f>
        <v>2E-3</v>
      </c>
    </row>
    <row r="468" spans="1:15" x14ac:dyDescent="0.3">
      <c r="A468" t="s">
        <v>1292</v>
      </c>
      <c r="B468" t="s">
        <v>445</v>
      </c>
      <c r="C468" t="s">
        <v>68</v>
      </c>
      <c r="D468" t="s">
        <v>1293</v>
      </c>
      <c r="E468" t="s">
        <v>220</v>
      </c>
      <c r="F468" t="s">
        <v>113</v>
      </c>
      <c r="G468" t="s">
        <v>107</v>
      </c>
      <c r="H468" t="s">
        <v>56</v>
      </c>
      <c r="I468" t="str">
        <f>_xlfn.IFNA(VLOOKUP(C468,merchants!$A$2:$D$41,2,FALSE),"Merchant not found")</f>
        <v>Merchant_028</v>
      </c>
      <c r="J468" t="str">
        <f>_xlfn.IFNA(VLOOKUP(C468,merchants!$A$2:$D$41,3,FALSE),"Merchant not found")</f>
        <v>ecommerce</v>
      </c>
      <c r="K468" t="str">
        <f>_xlfn.IFNA(VLOOKUP(C468,merchants!$A$2:$D$41,4,FALSE),"Merchant not found")</f>
        <v>South</v>
      </c>
      <c r="L468">
        <f t="shared" si="21"/>
        <v>46032</v>
      </c>
      <c r="M468">
        <f t="shared" si="22"/>
        <v>0</v>
      </c>
      <c r="N468" t="str">
        <f t="shared" si="23"/>
        <v>Standard</v>
      </c>
      <c r="O468">
        <f>HLOOKUP(F468,fee_lookup!$B$1:$E$2,2,FALSE)</f>
        <v>2E-3</v>
      </c>
    </row>
    <row r="469" spans="1:15" x14ac:dyDescent="0.3">
      <c r="A469" t="s">
        <v>1294</v>
      </c>
      <c r="B469" t="s">
        <v>567</v>
      </c>
      <c r="C469" t="s">
        <v>43</v>
      </c>
      <c r="D469" t="s">
        <v>1295</v>
      </c>
      <c r="E469" t="s">
        <v>112</v>
      </c>
      <c r="F469" t="s">
        <v>106</v>
      </c>
      <c r="G469" t="s">
        <v>107</v>
      </c>
      <c r="H469" t="s">
        <v>60</v>
      </c>
      <c r="I469" t="str">
        <f>_xlfn.IFNA(VLOOKUP(C469,merchants!$A$2:$D$41,2,FALSE),"Merchant not found")</f>
        <v>Merchant_016</v>
      </c>
      <c r="J469" t="str">
        <f>_xlfn.IFNA(VLOOKUP(C469,merchants!$A$2:$D$41,3,FALSE),"Merchant not found")</f>
        <v>bill_payment</v>
      </c>
      <c r="K469" t="str">
        <f>_xlfn.IFNA(VLOOKUP(C469,merchants!$A$2:$D$41,4,FALSE),"Merchant not found")</f>
        <v>West</v>
      </c>
      <c r="L469">
        <f t="shared" si="21"/>
        <v>46026</v>
      </c>
      <c r="M469">
        <f t="shared" si="22"/>
        <v>0</v>
      </c>
      <c r="N469" t="str">
        <f t="shared" si="23"/>
        <v>Standard</v>
      </c>
      <c r="O469">
        <f>HLOOKUP(F469,fee_lookup!$B$1:$E$2,2,FALSE)</f>
        <v>0.01</v>
      </c>
    </row>
    <row r="470" spans="1:15" x14ac:dyDescent="0.3">
      <c r="A470" t="s">
        <v>1296</v>
      </c>
      <c r="B470" t="s">
        <v>1297</v>
      </c>
      <c r="C470" t="s">
        <v>48</v>
      </c>
      <c r="D470" t="s">
        <v>1298</v>
      </c>
      <c r="E470" t="s">
        <v>227</v>
      </c>
      <c r="F470" t="s">
        <v>154</v>
      </c>
      <c r="G470" t="s">
        <v>107</v>
      </c>
      <c r="H470" t="s">
        <v>278</v>
      </c>
      <c r="I470" t="str">
        <f>_xlfn.IFNA(VLOOKUP(C470,merchants!$A$2:$D$41,2,FALSE),"Merchant not found")</f>
        <v>Merchant_018</v>
      </c>
      <c r="J470" t="str">
        <f>_xlfn.IFNA(VLOOKUP(C470,merchants!$A$2:$D$41,3,FALSE),"Merchant not found")</f>
        <v>grocery</v>
      </c>
      <c r="K470" t="str">
        <f>_xlfn.IFNA(VLOOKUP(C470,merchants!$A$2:$D$41,4,FALSE),"Merchant not found")</f>
        <v>West</v>
      </c>
      <c r="L470">
        <f t="shared" si="21"/>
        <v>46042</v>
      </c>
      <c r="M470">
        <f t="shared" si="22"/>
        <v>0</v>
      </c>
      <c r="N470" t="str">
        <f t="shared" si="23"/>
        <v>Standard</v>
      </c>
      <c r="O470">
        <f>HLOOKUP(F470,fee_lookup!$B$1:$E$2,2,FALSE)</f>
        <v>1.7999999999999999E-2</v>
      </c>
    </row>
    <row r="471" spans="1:15" x14ac:dyDescent="0.3">
      <c r="A471" t="s">
        <v>1299</v>
      </c>
      <c r="B471" t="s">
        <v>133</v>
      </c>
      <c r="C471" t="s">
        <v>87</v>
      </c>
      <c r="D471" t="s">
        <v>1300</v>
      </c>
      <c r="E471" t="s">
        <v>145</v>
      </c>
      <c r="F471" t="s">
        <v>154</v>
      </c>
      <c r="G471" t="s">
        <v>107</v>
      </c>
      <c r="H471" t="s">
        <v>74</v>
      </c>
      <c r="I471" t="str">
        <f>_xlfn.IFNA(VLOOKUP(C471,merchants!$A$2:$D$41,2,FALSE),"Merchant not found")</f>
        <v>Merchant_037</v>
      </c>
      <c r="J471" t="str">
        <f>_xlfn.IFNA(VLOOKUP(C471,merchants!$A$2:$D$41,3,FALSE),"Merchant not found")</f>
        <v>entertainment</v>
      </c>
      <c r="K471" t="str">
        <f>_xlfn.IFNA(VLOOKUP(C471,merchants!$A$2:$D$41,4,FALSE),"Merchant not found")</f>
        <v>South</v>
      </c>
      <c r="L471">
        <f t="shared" si="21"/>
        <v>46025</v>
      </c>
      <c r="M471">
        <f t="shared" si="22"/>
        <v>0</v>
      </c>
      <c r="N471" t="str">
        <f t="shared" si="23"/>
        <v>Standard</v>
      </c>
      <c r="O471">
        <f>HLOOKUP(F471,fee_lookup!$B$1:$E$2,2,FALSE)</f>
        <v>1.7999999999999999E-2</v>
      </c>
    </row>
    <row r="472" spans="1:15" x14ac:dyDescent="0.3">
      <c r="A472" t="s">
        <v>1301</v>
      </c>
      <c r="B472" t="s">
        <v>146</v>
      </c>
      <c r="C472" t="s">
        <v>12</v>
      </c>
      <c r="D472" t="s">
        <v>362</v>
      </c>
      <c r="E472" t="s">
        <v>112</v>
      </c>
      <c r="F472" t="s">
        <v>113</v>
      </c>
      <c r="G472" t="s">
        <v>107</v>
      </c>
      <c r="H472" t="s">
        <v>32</v>
      </c>
      <c r="I472" t="str">
        <f>_xlfn.IFNA(VLOOKUP(C472,merchants!$A$2:$D$41,2,FALSE),"Merchant not found")</f>
        <v>Merchant_003</v>
      </c>
      <c r="J472" t="str">
        <f>_xlfn.IFNA(VLOOKUP(C472,merchants!$A$2:$D$41,3,FALSE),"Merchant not found")</f>
        <v>grocery</v>
      </c>
      <c r="K472" t="str">
        <f>_xlfn.IFNA(VLOOKUP(C472,merchants!$A$2:$D$41,4,FALSE),"Merchant not found")</f>
        <v>East</v>
      </c>
      <c r="L472">
        <f t="shared" si="21"/>
        <v>46045</v>
      </c>
      <c r="M472">
        <f t="shared" si="22"/>
        <v>0</v>
      </c>
      <c r="N472" t="str">
        <f t="shared" si="23"/>
        <v>Standard</v>
      </c>
      <c r="O472">
        <f>HLOOKUP(F472,fee_lookup!$B$1:$E$2,2,FALSE)</f>
        <v>2E-3</v>
      </c>
    </row>
    <row r="473" spans="1:15" x14ac:dyDescent="0.3">
      <c r="A473" t="s">
        <v>1302</v>
      </c>
      <c r="B473" t="s">
        <v>479</v>
      </c>
      <c r="C473" t="s">
        <v>74</v>
      </c>
      <c r="D473" t="s">
        <v>1303</v>
      </c>
      <c r="E473" t="s">
        <v>145</v>
      </c>
      <c r="F473" t="s">
        <v>122</v>
      </c>
      <c r="G473" t="s">
        <v>107</v>
      </c>
      <c r="H473" t="s">
        <v>23</v>
      </c>
      <c r="I473" t="str">
        <f>_xlfn.IFNA(VLOOKUP(C473,merchants!$A$2:$D$41,2,FALSE),"Merchant not found")</f>
        <v>Merchant_031</v>
      </c>
      <c r="J473" t="str">
        <f>_xlfn.IFNA(VLOOKUP(C473,merchants!$A$2:$D$41,3,FALSE),"Merchant not found")</f>
        <v>bill_payment</v>
      </c>
      <c r="K473" t="str">
        <f>_xlfn.IFNA(VLOOKUP(C473,merchants!$A$2:$D$41,4,FALSE),"Merchant not found")</f>
        <v>East</v>
      </c>
      <c r="L473">
        <f t="shared" si="21"/>
        <v>46035</v>
      </c>
      <c r="M473">
        <f t="shared" si="22"/>
        <v>0</v>
      </c>
      <c r="N473" t="str">
        <f t="shared" si="23"/>
        <v>Standard</v>
      </c>
      <c r="O473">
        <f>HLOOKUP(F473,fee_lookup!$B$1:$E$2,2,FALSE)</f>
        <v>1.2E-2</v>
      </c>
    </row>
    <row r="474" spans="1:15" x14ac:dyDescent="0.3">
      <c r="A474" t="s">
        <v>1304</v>
      </c>
      <c r="B474" t="s">
        <v>556</v>
      </c>
      <c r="C474" t="s">
        <v>20</v>
      </c>
      <c r="D474" t="s">
        <v>1305</v>
      </c>
      <c r="E474" t="s">
        <v>112</v>
      </c>
      <c r="F474" t="s">
        <v>113</v>
      </c>
      <c r="G474" t="s">
        <v>107</v>
      </c>
      <c r="H474" t="s">
        <v>222</v>
      </c>
      <c r="I474" t="str">
        <f>_xlfn.IFNA(VLOOKUP(C474,merchants!$A$2:$D$41,2,FALSE),"Merchant not found")</f>
        <v>Merchant_006</v>
      </c>
      <c r="J474" t="str">
        <f>_xlfn.IFNA(VLOOKUP(C474,merchants!$A$2:$D$41,3,FALSE),"Merchant not found")</f>
        <v>food_delivery</v>
      </c>
      <c r="K474" t="str">
        <f>_xlfn.IFNA(VLOOKUP(C474,merchants!$A$2:$D$41,4,FALSE),"Merchant not found")</f>
        <v>South</v>
      </c>
      <c r="L474">
        <f t="shared" si="21"/>
        <v>46043</v>
      </c>
      <c r="M474">
        <f t="shared" si="22"/>
        <v>0</v>
      </c>
      <c r="N474" t="str">
        <f t="shared" si="23"/>
        <v>Standard</v>
      </c>
      <c r="O474">
        <f>HLOOKUP(F474,fee_lookup!$B$1:$E$2,2,FALSE)</f>
        <v>2E-3</v>
      </c>
    </row>
    <row r="475" spans="1:15" x14ac:dyDescent="0.3">
      <c r="A475" t="s">
        <v>1306</v>
      </c>
      <c r="B475" t="s">
        <v>168</v>
      </c>
      <c r="C475" t="s">
        <v>87</v>
      </c>
      <c r="D475" t="s">
        <v>1307</v>
      </c>
      <c r="E475" t="s">
        <v>127</v>
      </c>
      <c r="F475" t="s">
        <v>113</v>
      </c>
      <c r="G475" t="s">
        <v>155</v>
      </c>
      <c r="H475" t="s">
        <v>34</v>
      </c>
      <c r="I475" t="str">
        <f>_xlfn.IFNA(VLOOKUP(C475,merchants!$A$2:$D$41,2,FALSE),"Merchant not found")</f>
        <v>Merchant_037</v>
      </c>
      <c r="J475" t="str">
        <f>_xlfn.IFNA(VLOOKUP(C475,merchants!$A$2:$D$41,3,FALSE),"Merchant not found")</f>
        <v>entertainment</v>
      </c>
      <c r="K475" t="str">
        <f>_xlfn.IFNA(VLOOKUP(C475,merchants!$A$2:$D$41,4,FALSE),"Merchant not found")</f>
        <v>South</v>
      </c>
      <c r="L475">
        <f t="shared" si="21"/>
        <v>46050</v>
      </c>
      <c r="M475">
        <f t="shared" si="22"/>
        <v>0</v>
      </c>
      <c r="N475" t="str">
        <f t="shared" si="23"/>
        <v>Standard</v>
      </c>
      <c r="O475">
        <f>HLOOKUP(F475,fee_lookup!$B$1:$E$2,2,FALSE)</f>
        <v>2E-3</v>
      </c>
    </row>
    <row r="476" spans="1:15" x14ac:dyDescent="0.3">
      <c r="A476" t="s">
        <v>1308</v>
      </c>
      <c r="B476" t="s">
        <v>56</v>
      </c>
      <c r="C476" t="s">
        <v>41</v>
      </c>
      <c r="D476" t="s">
        <v>1309</v>
      </c>
      <c r="E476" t="s">
        <v>112</v>
      </c>
      <c r="F476" t="s">
        <v>122</v>
      </c>
      <c r="G476" t="s">
        <v>107</v>
      </c>
      <c r="H476" t="s">
        <v>66</v>
      </c>
      <c r="I476" t="str">
        <f>_xlfn.IFNA(VLOOKUP(C476,merchants!$A$2:$D$41,2,FALSE),"Merchant not found")</f>
        <v>Merchant_015</v>
      </c>
      <c r="J476" t="str">
        <f>_xlfn.IFNA(VLOOKUP(C476,merchants!$A$2:$D$41,3,FALSE),"Merchant not found")</f>
        <v>travel</v>
      </c>
      <c r="K476" t="str">
        <f>_xlfn.IFNA(VLOOKUP(C476,merchants!$A$2:$D$41,4,FALSE),"Merchant not found")</f>
        <v>North</v>
      </c>
      <c r="L476">
        <f t="shared" si="21"/>
        <v>46051</v>
      </c>
      <c r="M476">
        <f t="shared" si="22"/>
        <v>0</v>
      </c>
      <c r="N476" t="str">
        <f t="shared" si="23"/>
        <v>Standard</v>
      </c>
      <c r="O476">
        <f>HLOOKUP(F476,fee_lookup!$B$1:$E$2,2,FALSE)</f>
        <v>1.2E-2</v>
      </c>
    </row>
    <row r="477" spans="1:15" x14ac:dyDescent="0.3">
      <c r="A477" t="s">
        <v>1310</v>
      </c>
      <c r="B477" t="s">
        <v>1311</v>
      </c>
      <c r="C477" t="s">
        <v>74</v>
      </c>
      <c r="D477" t="s">
        <v>1312</v>
      </c>
      <c r="E477" t="s">
        <v>112</v>
      </c>
      <c r="F477" t="s">
        <v>122</v>
      </c>
      <c r="G477" t="s">
        <v>155</v>
      </c>
      <c r="H477" t="s">
        <v>80</v>
      </c>
      <c r="I477" t="str">
        <f>_xlfn.IFNA(VLOOKUP(C477,merchants!$A$2:$D$41,2,FALSE),"Merchant not found")</f>
        <v>Merchant_031</v>
      </c>
      <c r="J477" t="str">
        <f>_xlfn.IFNA(VLOOKUP(C477,merchants!$A$2:$D$41,3,FALSE),"Merchant not found")</f>
        <v>bill_payment</v>
      </c>
      <c r="K477" t="str">
        <f>_xlfn.IFNA(VLOOKUP(C477,merchants!$A$2:$D$41,4,FALSE),"Merchant not found")</f>
        <v>East</v>
      </c>
      <c r="L477">
        <f t="shared" si="21"/>
        <v>46051</v>
      </c>
      <c r="M477">
        <f t="shared" si="22"/>
        <v>0</v>
      </c>
      <c r="N477" t="str">
        <f t="shared" si="23"/>
        <v>Standard</v>
      </c>
      <c r="O477">
        <f>HLOOKUP(F477,fee_lookup!$B$1:$E$2,2,FALSE)</f>
        <v>1.2E-2</v>
      </c>
    </row>
    <row r="478" spans="1:15" x14ac:dyDescent="0.3">
      <c r="A478" t="s">
        <v>1313</v>
      </c>
      <c r="B478" t="s">
        <v>1314</v>
      </c>
      <c r="C478" t="s">
        <v>82</v>
      </c>
      <c r="D478" t="s">
        <v>1315</v>
      </c>
      <c r="E478" t="s">
        <v>118</v>
      </c>
      <c r="F478" t="s">
        <v>113</v>
      </c>
      <c r="G478" t="s">
        <v>107</v>
      </c>
      <c r="H478" t="s">
        <v>301</v>
      </c>
      <c r="I478" t="str">
        <f>_xlfn.IFNA(VLOOKUP(C478,merchants!$A$2:$D$41,2,FALSE),"Merchant not found")</f>
        <v>Merchant_035</v>
      </c>
      <c r="J478" t="str">
        <f>_xlfn.IFNA(VLOOKUP(C478,merchants!$A$2:$D$41,3,FALSE),"Merchant not found")</f>
        <v>recharge</v>
      </c>
      <c r="K478" t="str">
        <f>_xlfn.IFNA(VLOOKUP(C478,merchants!$A$2:$D$41,4,FALSE),"Merchant not found")</f>
        <v>East</v>
      </c>
      <c r="L478">
        <f t="shared" si="21"/>
        <v>46024</v>
      </c>
      <c r="M478">
        <f t="shared" si="22"/>
        <v>0</v>
      </c>
      <c r="N478" t="str">
        <f t="shared" si="23"/>
        <v>Standard</v>
      </c>
      <c r="O478">
        <f>HLOOKUP(F478,fee_lookup!$B$1:$E$2,2,FALSE)</f>
        <v>2E-3</v>
      </c>
    </row>
    <row r="479" spans="1:15" x14ac:dyDescent="0.3">
      <c r="A479" t="s">
        <v>1316</v>
      </c>
      <c r="B479" t="s">
        <v>1317</v>
      </c>
      <c r="C479" t="s">
        <v>8</v>
      </c>
      <c r="D479" t="s">
        <v>1318</v>
      </c>
      <c r="E479" t="s">
        <v>145</v>
      </c>
      <c r="F479" t="s">
        <v>106</v>
      </c>
      <c r="G479" t="s">
        <v>107</v>
      </c>
      <c r="H479" t="s">
        <v>64</v>
      </c>
      <c r="I479" t="str">
        <f>_xlfn.IFNA(VLOOKUP(C479,merchants!$A$2:$D$41,2,FALSE),"Merchant not found")</f>
        <v>Merchant_002</v>
      </c>
      <c r="J479" t="str">
        <f>_xlfn.IFNA(VLOOKUP(C479,merchants!$A$2:$D$41,3,FALSE),"Merchant not found")</f>
        <v>grocery</v>
      </c>
      <c r="K479" t="str">
        <f>_xlfn.IFNA(VLOOKUP(C479,merchants!$A$2:$D$41,4,FALSE),"Merchant not found")</f>
        <v>West</v>
      </c>
      <c r="L479">
        <f t="shared" si="21"/>
        <v>46044</v>
      </c>
      <c r="M479">
        <f t="shared" si="22"/>
        <v>0</v>
      </c>
      <c r="N479" t="str">
        <f t="shared" si="23"/>
        <v>Standard</v>
      </c>
      <c r="O479">
        <f>HLOOKUP(F479,fee_lookup!$B$1:$E$2,2,FALSE)</f>
        <v>0.01</v>
      </c>
    </row>
    <row r="480" spans="1:15" x14ac:dyDescent="0.3">
      <c r="A480" t="s">
        <v>1319</v>
      </c>
      <c r="B480" t="s">
        <v>906</v>
      </c>
      <c r="C480" t="s">
        <v>17</v>
      </c>
      <c r="D480" t="s">
        <v>1320</v>
      </c>
      <c r="E480" t="s">
        <v>112</v>
      </c>
      <c r="F480" t="s">
        <v>113</v>
      </c>
      <c r="G480" t="s">
        <v>107</v>
      </c>
      <c r="H480" t="s">
        <v>89</v>
      </c>
      <c r="I480" t="str">
        <f>_xlfn.IFNA(VLOOKUP(C480,merchants!$A$2:$D$41,2,FALSE),"Merchant not found")</f>
        <v>Merchant_005</v>
      </c>
      <c r="J480" t="str">
        <f>_xlfn.IFNA(VLOOKUP(C480,merchants!$A$2:$D$41,3,FALSE),"Merchant not found")</f>
        <v>recharge</v>
      </c>
      <c r="K480" t="str">
        <f>_xlfn.IFNA(VLOOKUP(C480,merchants!$A$2:$D$41,4,FALSE),"Merchant not found")</f>
        <v>South</v>
      </c>
      <c r="L480">
        <f t="shared" si="21"/>
        <v>46041</v>
      </c>
      <c r="M480">
        <f t="shared" si="22"/>
        <v>0</v>
      </c>
      <c r="N480" t="str">
        <f t="shared" si="23"/>
        <v>Standard</v>
      </c>
      <c r="O480">
        <f>HLOOKUP(F480,fee_lookup!$B$1:$E$2,2,FALSE)</f>
        <v>2E-3</v>
      </c>
    </row>
    <row r="481" spans="1:15" x14ac:dyDescent="0.3">
      <c r="A481" t="s">
        <v>1321</v>
      </c>
      <c r="B481" t="s">
        <v>1311</v>
      </c>
      <c r="C481" t="s">
        <v>62</v>
      </c>
      <c r="D481" t="s">
        <v>1322</v>
      </c>
      <c r="E481" t="s">
        <v>127</v>
      </c>
      <c r="F481" t="s">
        <v>106</v>
      </c>
      <c r="G481" t="s">
        <v>107</v>
      </c>
      <c r="H481" t="s">
        <v>180</v>
      </c>
      <c r="I481" t="str">
        <f>_xlfn.IFNA(VLOOKUP(C481,merchants!$A$2:$D$41,2,FALSE),"Merchant not found")</f>
        <v>Merchant_025</v>
      </c>
      <c r="J481" t="str">
        <f>_xlfn.IFNA(VLOOKUP(C481,merchants!$A$2:$D$41,3,FALSE),"Merchant not found")</f>
        <v>travel</v>
      </c>
      <c r="K481" t="str">
        <f>_xlfn.IFNA(VLOOKUP(C481,merchants!$A$2:$D$41,4,FALSE),"Merchant not found")</f>
        <v>South</v>
      </c>
      <c r="L481">
        <f t="shared" si="21"/>
        <v>46028</v>
      </c>
      <c r="M481">
        <f t="shared" si="22"/>
        <v>0</v>
      </c>
      <c r="N481" t="str">
        <f t="shared" si="23"/>
        <v>Standard</v>
      </c>
      <c r="O481">
        <f>HLOOKUP(F481,fee_lookup!$B$1:$E$2,2,FALSE)</f>
        <v>0.01</v>
      </c>
    </row>
    <row r="482" spans="1:15" x14ac:dyDescent="0.3">
      <c r="A482" t="s">
        <v>1323</v>
      </c>
      <c r="B482" t="s">
        <v>489</v>
      </c>
      <c r="C482" t="s">
        <v>28</v>
      </c>
      <c r="D482" t="s">
        <v>1324</v>
      </c>
      <c r="E482" t="s">
        <v>112</v>
      </c>
      <c r="F482" t="s">
        <v>106</v>
      </c>
      <c r="G482" t="s">
        <v>155</v>
      </c>
      <c r="H482" t="s">
        <v>556</v>
      </c>
      <c r="I482" t="str">
        <f>_xlfn.IFNA(VLOOKUP(C482,merchants!$A$2:$D$41,2,FALSE),"Merchant not found")</f>
        <v>Merchant_009</v>
      </c>
      <c r="J482" t="str">
        <f>_xlfn.IFNA(VLOOKUP(C482,merchants!$A$2:$D$41,3,FALSE),"Merchant not found")</f>
        <v>ecommerce</v>
      </c>
      <c r="K482" t="str">
        <f>_xlfn.IFNA(VLOOKUP(C482,merchants!$A$2:$D$41,4,FALSE),"Merchant not found")</f>
        <v>North</v>
      </c>
      <c r="L482">
        <f t="shared" si="21"/>
        <v>46051</v>
      </c>
      <c r="M482">
        <f t="shared" si="22"/>
        <v>0</v>
      </c>
      <c r="N482" t="str">
        <f t="shared" si="23"/>
        <v>Standard</v>
      </c>
      <c r="O482">
        <f>HLOOKUP(F482,fee_lookup!$B$1:$E$2,2,FALSE)</f>
        <v>0.01</v>
      </c>
    </row>
    <row r="483" spans="1:15" x14ac:dyDescent="0.3">
      <c r="A483" t="s">
        <v>1325</v>
      </c>
      <c r="B483" t="s">
        <v>1326</v>
      </c>
      <c r="C483" t="s">
        <v>15</v>
      </c>
      <c r="D483" t="s">
        <v>1327</v>
      </c>
      <c r="E483" t="s">
        <v>118</v>
      </c>
      <c r="F483" t="s">
        <v>113</v>
      </c>
      <c r="G483" t="s">
        <v>107</v>
      </c>
      <c r="H483" t="s">
        <v>34</v>
      </c>
      <c r="I483" t="str">
        <f>_xlfn.IFNA(VLOOKUP(C483,merchants!$A$2:$D$41,2,FALSE),"Merchant not found")</f>
        <v>Merchant_004</v>
      </c>
      <c r="J483" t="str">
        <f>_xlfn.IFNA(VLOOKUP(C483,merchants!$A$2:$D$41,3,FALSE),"Merchant not found")</f>
        <v>ecommerce</v>
      </c>
      <c r="K483" t="str">
        <f>_xlfn.IFNA(VLOOKUP(C483,merchants!$A$2:$D$41,4,FALSE),"Merchant not found")</f>
        <v>East</v>
      </c>
      <c r="L483">
        <f t="shared" si="21"/>
        <v>46046</v>
      </c>
      <c r="M483">
        <f t="shared" si="22"/>
        <v>0</v>
      </c>
      <c r="N483" t="str">
        <f t="shared" si="23"/>
        <v>Standard</v>
      </c>
      <c r="O483">
        <f>HLOOKUP(F483,fee_lookup!$B$1:$E$2,2,FALSE)</f>
        <v>2E-3</v>
      </c>
    </row>
    <row r="484" spans="1:15" x14ac:dyDescent="0.3">
      <c r="A484" t="s">
        <v>1328</v>
      </c>
      <c r="B484" t="s">
        <v>91</v>
      </c>
      <c r="C484" t="s">
        <v>56</v>
      </c>
      <c r="D484" t="s">
        <v>1329</v>
      </c>
      <c r="E484" t="s">
        <v>140</v>
      </c>
      <c r="F484" t="s">
        <v>122</v>
      </c>
      <c r="G484" t="s">
        <v>107</v>
      </c>
      <c r="H484" t="s">
        <v>567</v>
      </c>
      <c r="I484" t="str">
        <f>_xlfn.IFNA(VLOOKUP(C484,merchants!$A$2:$D$41,2,FALSE),"Merchant not found")</f>
        <v>Merchant_022</v>
      </c>
      <c r="J484" t="str">
        <f>_xlfn.IFNA(VLOOKUP(C484,merchants!$A$2:$D$41,3,FALSE),"Merchant not found")</f>
        <v>travel</v>
      </c>
      <c r="K484" t="str">
        <f>_xlfn.IFNA(VLOOKUP(C484,merchants!$A$2:$D$41,4,FALSE),"Merchant not found")</f>
        <v>South</v>
      </c>
      <c r="L484">
        <f t="shared" si="21"/>
        <v>46036</v>
      </c>
      <c r="M484">
        <f t="shared" si="22"/>
        <v>0</v>
      </c>
      <c r="N484" t="str">
        <f t="shared" si="23"/>
        <v>Standard</v>
      </c>
      <c r="O484">
        <f>HLOOKUP(F484,fee_lookup!$B$1:$E$2,2,FALSE)</f>
        <v>1.2E-2</v>
      </c>
    </row>
    <row r="485" spans="1:15" x14ac:dyDescent="0.3">
      <c r="A485" t="s">
        <v>1330</v>
      </c>
      <c r="B485" t="s">
        <v>906</v>
      </c>
      <c r="C485" t="s">
        <v>54</v>
      </c>
      <c r="D485" t="s">
        <v>1331</v>
      </c>
      <c r="E485" t="s">
        <v>145</v>
      </c>
      <c r="F485" t="s">
        <v>106</v>
      </c>
      <c r="G485" t="s">
        <v>107</v>
      </c>
      <c r="H485" t="s">
        <v>12</v>
      </c>
      <c r="I485" t="str">
        <f>_xlfn.IFNA(VLOOKUP(C485,merchants!$A$2:$D$41,2,FALSE),"Merchant not found")</f>
        <v>Merchant_021</v>
      </c>
      <c r="J485" t="str">
        <f>_xlfn.IFNA(VLOOKUP(C485,merchants!$A$2:$D$41,3,FALSE),"Merchant not found")</f>
        <v>food_delivery</v>
      </c>
      <c r="K485" t="str">
        <f>_xlfn.IFNA(VLOOKUP(C485,merchants!$A$2:$D$41,4,FALSE),"Merchant not found")</f>
        <v>East</v>
      </c>
      <c r="L485">
        <f t="shared" si="21"/>
        <v>46047</v>
      </c>
      <c r="M485">
        <f t="shared" si="22"/>
        <v>0</v>
      </c>
      <c r="N485" t="str">
        <f t="shared" si="23"/>
        <v>Standard</v>
      </c>
      <c r="O485">
        <f>HLOOKUP(F485,fee_lookup!$B$1:$E$2,2,FALSE)</f>
        <v>0.01</v>
      </c>
    </row>
    <row r="486" spans="1:15" x14ac:dyDescent="0.3">
      <c r="A486" t="s">
        <v>1332</v>
      </c>
      <c r="B486" t="s">
        <v>337</v>
      </c>
      <c r="C486" t="s">
        <v>76</v>
      </c>
      <c r="D486" t="s">
        <v>1333</v>
      </c>
      <c r="E486" t="s">
        <v>145</v>
      </c>
      <c r="F486" t="s">
        <v>113</v>
      </c>
      <c r="G486" t="s">
        <v>107</v>
      </c>
      <c r="H486" t="s">
        <v>70</v>
      </c>
      <c r="I486" t="str">
        <f>_xlfn.IFNA(VLOOKUP(C486,merchants!$A$2:$D$41,2,FALSE),"Merchant not found")</f>
        <v>Merchant_032</v>
      </c>
      <c r="J486" t="str">
        <f>_xlfn.IFNA(VLOOKUP(C486,merchants!$A$2:$D$41,3,FALSE),"Merchant not found")</f>
        <v>food_delivery</v>
      </c>
      <c r="K486" t="str">
        <f>_xlfn.IFNA(VLOOKUP(C486,merchants!$A$2:$D$41,4,FALSE),"Merchant not found")</f>
        <v>West</v>
      </c>
      <c r="L486">
        <f t="shared" si="21"/>
        <v>46043</v>
      </c>
      <c r="M486">
        <f t="shared" si="22"/>
        <v>0</v>
      </c>
      <c r="N486" t="str">
        <f t="shared" si="23"/>
        <v>Standard</v>
      </c>
      <c r="O486">
        <f>HLOOKUP(F486,fee_lookup!$B$1:$E$2,2,FALSE)</f>
        <v>2E-3</v>
      </c>
    </row>
    <row r="487" spans="1:15" x14ac:dyDescent="0.3">
      <c r="A487" t="s">
        <v>1334</v>
      </c>
      <c r="B487" t="s">
        <v>676</v>
      </c>
      <c r="C487" t="s">
        <v>34</v>
      </c>
      <c r="D487" t="s">
        <v>1335</v>
      </c>
      <c r="E487" t="s">
        <v>220</v>
      </c>
      <c r="F487" t="s">
        <v>106</v>
      </c>
      <c r="G487" t="s">
        <v>155</v>
      </c>
      <c r="H487" t="s">
        <v>316</v>
      </c>
      <c r="I487" t="str">
        <f>_xlfn.IFNA(VLOOKUP(C487,merchants!$A$2:$D$41,2,FALSE),"Merchant not found")</f>
        <v>Merchant_012</v>
      </c>
      <c r="J487" t="str">
        <f>_xlfn.IFNA(VLOOKUP(C487,merchants!$A$2:$D$41,3,FALSE),"Merchant not found")</f>
        <v>ecommerce</v>
      </c>
      <c r="K487" t="str">
        <f>_xlfn.IFNA(VLOOKUP(C487,merchants!$A$2:$D$41,4,FALSE),"Merchant not found")</f>
        <v>East</v>
      </c>
      <c r="L487">
        <f t="shared" si="21"/>
        <v>46034</v>
      </c>
      <c r="M487">
        <f t="shared" si="22"/>
        <v>0</v>
      </c>
      <c r="N487" t="str">
        <f t="shared" si="23"/>
        <v>Standard</v>
      </c>
      <c r="O487">
        <f>HLOOKUP(F487,fee_lookup!$B$1:$E$2,2,FALSE)</f>
        <v>0.01</v>
      </c>
    </row>
    <row r="488" spans="1:15" x14ac:dyDescent="0.3">
      <c r="A488" t="s">
        <v>1336</v>
      </c>
      <c r="B488" t="s">
        <v>141</v>
      </c>
      <c r="C488" t="s">
        <v>93</v>
      </c>
      <c r="D488" t="s">
        <v>1337</v>
      </c>
      <c r="E488" t="s">
        <v>220</v>
      </c>
      <c r="F488" t="s">
        <v>113</v>
      </c>
      <c r="G488" t="s">
        <v>107</v>
      </c>
      <c r="H488" t="s">
        <v>87</v>
      </c>
      <c r="I488" t="str">
        <f>_xlfn.IFNA(VLOOKUP(C488,merchants!$A$2:$D$41,2,FALSE),"Merchant not found")</f>
        <v>Merchant_040</v>
      </c>
      <c r="J488" t="str">
        <f>_xlfn.IFNA(VLOOKUP(C488,merchants!$A$2:$D$41,3,FALSE),"Merchant not found")</f>
        <v>entertainment</v>
      </c>
      <c r="K488" t="str">
        <f>_xlfn.IFNA(VLOOKUP(C488,merchants!$A$2:$D$41,4,FALSE),"Merchant not found")</f>
        <v>South</v>
      </c>
      <c r="L488">
        <f t="shared" si="21"/>
        <v>46041</v>
      </c>
      <c r="M488">
        <f t="shared" si="22"/>
        <v>0</v>
      </c>
      <c r="N488" t="str">
        <f t="shared" si="23"/>
        <v>Standard</v>
      </c>
      <c r="O488">
        <f>HLOOKUP(F488,fee_lookup!$B$1:$E$2,2,FALSE)</f>
        <v>2E-3</v>
      </c>
    </row>
    <row r="489" spans="1:15" x14ac:dyDescent="0.3">
      <c r="A489" t="s">
        <v>1338</v>
      </c>
      <c r="B489" t="s">
        <v>89</v>
      </c>
      <c r="C489" t="s">
        <v>20</v>
      </c>
      <c r="D489" t="s">
        <v>1339</v>
      </c>
      <c r="E489" t="s">
        <v>112</v>
      </c>
      <c r="F489" t="s">
        <v>106</v>
      </c>
      <c r="G489" t="s">
        <v>107</v>
      </c>
      <c r="H489" t="s">
        <v>80</v>
      </c>
      <c r="I489" t="str">
        <f>_xlfn.IFNA(VLOOKUP(C489,merchants!$A$2:$D$41,2,FALSE),"Merchant not found")</f>
        <v>Merchant_006</v>
      </c>
      <c r="J489" t="str">
        <f>_xlfn.IFNA(VLOOKUP(C489,merchants!$A$2:$D$41,3,FALSE),"Merchant not found")</f>
        <v>food_delivery</v>
      </c>
      <c r="K489" t="str">
        <f>_xlfn.IFNA(VLOOKUP(C489,merchants!$A$2:$D$41,4,FALSE),"Merchant not found")</f>
        <v>South</v>
      </c>
      <c r="L489">
        <f t="shared" si="21"/>
        <v>46048</v>
      </c>
      <c r="M489">
        <f t="shared" si="22"/>
        <v>0</v>
      </c>
      <c r="N489" t="str">
        <f t="shared" si="23"/>
        <v>Standard</v>
      </c>
      <c r="O489">
        <f>HLOOKUP(F489,fee_lookup!$B$1:$E$2,2,FALSE)</f>
        <v>0.01</v>
      </c>
    </row>
    <row r="490" spans="1:15" x14ac:dyDescent="0.3">
      <c r="A490" t="s">
        <v>1340</v>
      </c>
      <c r="B490" t="s">
        <v>660</v>
      </c>
      <c r="C490" t="s">
        <v>30</v>
      </c>
      <c r="D490" t="s">
        <v>1341</v>
      </c>
      <c r="E490" t="s">
        <v>112</v>
      </c>
      <c r="F490" t="s">
        <v>122</v>
      </c>
      <c r="G490" t="s">
        <v>198</v>
      </c>
      <c r="H490" t="s">
        <v>981</v>
      </c>
      <c r="I490" t="str">
        <f>_xlfn.IFNA(VLOOKUP(C490,merchants!$A$2:$D$41,2,FALSE),"Merchant not found")</f>
        <v>Merchant_010</v>
      </c>
      <c r="J490" t="str">
        <f>_xlfn.IFNA(VLOOKUP(C490,merchants!$A$2:$D$41,3,FALSE),"Merchant not found")</f>
        <v>grocery</v>
      </c>
      <c r="K490" t="str">
        <f>_xlfn.IFNA(VLOOKUP(C490,merchants!$A$2:$D$41,4,FALSE),"Merchant not found")</f>
        <v>West</v>
      </c>
      <c r="L490">
        <f t="shared" si="21"/>
        <v>46027</v>
      </c>
      <c r="M490">
        <f t="shared" si="22"/>
        <v>0</v>
      </c>
      <c r="N490" t="str">
        <f t="shared" si="23"/>
        <v>Standard</v>
      </c>
      <c r="O490">
        <f>HLOOKUP(F490,fee_lookup!$B$1:$E$2,2,FALSE)</f>
        <v>1.2E-2</v>
      </c>
    </row>
    <row r="491" spans="1:15" x14ac:dyDescent="0.3">
      <c r="A491" t="s">
        <v>1342</v>
      </c>
      <c r="B491" t="s">
        <v>187</v>
      </c>
      <c r="C491" t="s">
        <v>20</v>
      </c>
      <c r="D491" t="s">
        <v>1343</v>
      </c>
      <c r="E491" t="s">
        <v>118</v>
      </c>
      <c r="F491" t="s">
        <v>154</v>
      </c>
      <c r="G491" t="s">
        <v>107</v>
      </c>
      <c r="H491" t="s">
        <v>496</v>
      </c>
      <c r="I491" t="str">
        <f>_xlfn.IFNA(VLOOKUP(C491,merchants!$A$2:$D$41,2,FALSE),"Merchant not found")</f>
        <v>Merchant_006</v>
      </c>
      <c r="J491" t="str">
        <f>_xlfn.IFNA(VLOOKUP(C491,merchants!$A$2:$D$41,3,FALSE),"Merchant not found")</f>
        <v>food_delivery</v>
      </c>
      <c r="K491" t="str">
        <f>_xlfn.IFNA(VLOOKUP(C491,merchants!$A$2:$D$41,4,FALSE),"Merchant not found")</f>
        <v>South</v>
      </c>
      <c r="L491">
        <f t="shared" si="21"/>
        <v>46035</v>
      </c>
      <c r="M491">
        <f t="shared" si="22"/>
        <v>0</v>
      </c>
      <c r="N491" t="str">
        <f t="shared" si="23"/>
        <v>Standard</v>
      </c>
      <c r="O491">
        <f>HLOOKUP(F491,fee_lookup!$B$1:$E$2,2,FALSE)</f>
        <v>1.7999999999999999E-2</v>
      </c>
    </row>
    <row r="492" spans="1:15" x14ac:dyDescent="0.3">
      <c r="A492" t="s">
        <v>1344</v>
      </c>
      <c r="B492" t="s">
        <v>1345</v>
      </c>
      <c r="C492" t="s">
        <v>23</v>
      </c>
      <c r="D492" t="s">
        <v>1346</v>
      </c>
      <c r="E492" t="s">
        <v>220</v>
      </c>
      <c r="F492" t="s">
        <v>154</v>
      </c>
      <c r="G492" t="s">
        <v>107</v>
      </c>
      <c r="H492" t="s">
        <v>43</v>
      </c>
      <c r="I492" t="str">
        <f>_xlfn.IFNA(VLOOKUP(C492,merchants!$A$2:$D$41,2,FALSE),"Merchant not found")</f>
        <v>Merchant_007</v>
      </c>
      <c r="J492" t="str">
        <f>_xlfn.IFNA(VLOOKUP(C492,merchants!$A$2:$D$41,3,FALSE),"Merchant not found")</f>
        <v>food_delivery</v>
      </c>
      <c r="K492" t="str">
        <f>_xlfn.IFNA(VLOOKUP(C492,merchants!$A$2:$D$41,4,FALSE),"Merchant not found")</f>
        <v>East</v>
      </c>
      <c r="L492">
        <f t="shared" si="21"/>
        <v>46032</v>
      </c>
      <c r="M492">
        <f t="shared" si="22"/>
        <v>0</v>
      </c>
      <c r="N492" t="str">
        <f t="shared" si="23"/>
        <v>Standard</v>
      </c>
      <c r="O492">
        <f>HLOOKUP(F492,fee_lookup!$B$1:$E$2,2,FALSE)</f>
        <v>1.7999999999999999E-2</v>
      </c>
    </row>
    <row r="493" spans="1:15" x14ac:dyDescent="0.3">
      <c r="A493" t="s">
        <v>1347</v>
      </c>
      <c r="B493" t="s">
        <v>645</v>
      </c>
      <c r="C493" t="s">
        <v>84</v>
      </c>
      <c r="D493" t="s">
        <v>1348</v>
      </c>
      <c r="E493" t="s">
        <v>127</v>
      </c>
      <c r="F493" t="s">
        <v>106</v>
      </c>
      <c r="G493" t="s">
        <v>107</v>
      </c>
      <c r="H493" t="s">
        <v>592</v>
      </c>
      <c r="I493" t="str">
        <f>_xlfn.IFNA(VLOOKUP(C493,merchants!$A$2:$D$41,2,FALSE),"Merchant not found")</f>
        <v>Merchant_036</v>
      </c>
      <c r="J493" t="str">
        <f>_xlfn.IFNA(VLOOKUP(C493,merchants!$A$2:$D$41,3,FALSE),"Merchant not found")</f>
        <v>entertainment</v>
      </c>
      <c r="K493" t="str">
        <f>_xlfn.IFNA(VLOOKUP(C493,merchants!$A$2:$D$41,4,FALSE),"Merchant not found")</f>
        <v>East</v>
      </c>
      <c r="L493">
        <f t="shared" si="21"/>
        <v>46025</v>
      </c>
      <c r="M493">
        <f t="shared" si="22"/>
        <v>0</v>
      </c>
      <c r="N493" t="str">
        <f t="shared" si="23"/>
        <v>Standard</v>
      </c>
      <c r="O493">
        <f>HLOOKUP(F493,fee_lookup!$B$1:$E$2,2,FALSE)</f>
        <v>0.01</v>
      </c>
    </row>
    <row r="494" spans="1:15" x14ac:dyDescent="0.3">
      <c r="A494" t="s">
        <v>1349</v>
      </c>
      <c r="B494" t="s">
        <v>39</v>
      </c>
      <c r="C494" t="s">
        <v>20</v>
      </c>
      <c r="D494" t="s">
        <v>1350</v>
      </c>
      <c r="E494" t="s">
        <v>140</v>
      </c>
      <c r="F494" t="s">
        <v>154</v>
      </c>
      <c r="G494" t="s">
        <v>107</v>
      </c>
      <c r="H494" t="s">
        <v>1351</v>
      </c>
      <c r="I494" t="str">
        <f>_xlfn.IFNA(VLOOKUP(C494,merchants!$A$2:$D$41,2,FALSE),"Merchant not found")</f>
        <v>Merchant_006</v>
      </c>
      <c r="J494" t="str">
        <f>_xlfn.IFNA(VLOOKUP(C494,merchants!$A$2:$D$41,3,FALSE),"Merchant not found")</f>
        <v>food_delivery</v>
      </c>
      <c r="K494" t="str">
        <f>_xlfn.IFNA(VLOOKUP(C494,merchants!$A$2:$D$41,4,FALSE),"Merchant not found")</f>
        <v>South</v>
      </c>
      <c r="L494">
        <f t="shared" si="21"/>
        <v>46039</v>
      </c>
      <c r="M494">
        <f t="shared" si="22"/>
        <v>0</v>
      </c>
      <c r="N494" t="str">
        <f t="shared" si="23"/>
        <v>Standard</v>
      </c>
      <c r="O494">
        <f>HLOOKUP(F494,fee_lookup!$B$1:$E$2,2,FALSE)</f>
        <v>1.7999999999999999E-2</v>
      </c>
    </row>
    <row r="495" spans="1:15" x14ac:dyDescent="0.3">
      <c r="A495" t="s">
        <v>1352</v>
      </c>
      <c r="B495" t="s">
        <v>796</v>
      </c>
      <c r="C495" t="s">
        <v>54</v>
      </c>
      <c r="D495" t="s">
        <v>1353</v>
      </c>
      <c r="E495" t="s">
        <v>140</v>
      </c>
      <c r="F495" t="s">
        <v>113</v>
      </c>
      <c r="G495" t="s">
        <v>107</v>
      </c>
      <c r="H495" t="s">
        <v>112</v>
      </c>
      <c r="I495" t="str">
        <f>_xlfn.IFNA(VLOOKUP(C495,merchants!$A$2:$D$41,2,FALSE),"Merchant not found")</f>
        <v>Merchant_021</v>
      </c>
      <c r="J495" t="str">
        <f>_xlfn.IFNA(VLOOKUP(C495,merchants!$A$2:$D$41,3,FALSE),"Merchant not found")</f>
        <v>food_delivery</v>
      </c>
      <c r="K495" t="str">
        <f>_xlfn.IFNA(VLOOKUP(C495,merchants!$A$2:$D$41,4,FALSE),"Merchant not found")</f>
        <v>East</v>
      </c>
      <c r="L495">
        <f t="shared" si="21"/>
        <v>46040</v>
      </c>
      <c r="M495">
        <f t="shared" si="22"/>
        <v>0</v>
      </c>
      <c r="N495" t="str">
        <f t="shared" si="23"/>
        <v>Standard</v>
      </c>
      <c r="O495">
        <f>HLOOKUP(F495,fee_lookup!$B$1:$E$2,2,FALSE)</f>
        <v>2E-3</v>
      </c>
    </row>
    <row r="496" spans="1:15" x14ac:dyDescent="0.3">
      <c r="A496" t="s">
        <v>1354</v>
      </c>
      <c r="B496" t="s">
        <v>610</v>
      </c>
      <c r="C496" t="s">
        <v>20</v>
      </c>
      <c r="D496" t="s">
        <v>1355</v>
      </c>
      <c r="E496" t="s">
        <v>112</v>
      </c>
      <c r="F496" t="s">
        <v>113</v>
      </c>
      <c r="G496" t="s">
        <v>107</v>
      </c>
      <c r="H496" t="s">
        <v>120</v>
      </c>
      <c r="I496" t="str">
        <f>_xlfn.IFNA(VLOOKUP(C496,merchants!$A$2:$D$41,2,FALSE),"Merchant not found")</f>
        <v>Merchant_006</v>
      </c>
      <c r="J496" t="str">
        <f>_xlfn.IFNA(VLOOKUP(C496,merchants!$A$2:$D$41,3,FALSE),"Merchant not found")</f>
        <v>food_delivery</v>
      </c>
      <c r="K496" t="str">
        <f>_xlfn.IFNA(VLOOKUP(C496,merchants!$A$2:$D$41,4,FALSE),"Merchant not found")</f>
        <v>South</v>
      </c>
      <c r="L496">
        <f t="shared" si="21"/>
        <v>46023</v>
      </c>
      <c r="M496">
        <f t="shared" si="22"/>
        <v>0</v>
      </c>
      <c r="N496" t="str">
        <f t="shared" si="23"/>
        <v>Standard</v>
      </c>
      <c r="O496">
        <f>HLOOKUP(F496,fee_lookup!$B$1:$E$2,2,FALSE)</f>
        <v>2E-3</v>
      </c>
    </row>
    <row r="497" spans="1:15" x14ac:dyDescent="0.3">
      <c r="A497" t="s">
        <v>1356</v>
      </c>
      <c r="B497" t="s">
        <v>1357</v>
      </c>
      <c r="C497" t="s">
        <v>87</v>
      </c>
      <c r="D497" t="s">
        <v>1358</v>
      </c>
      <c r="E497" t="s">
        <v>227</v>
      </c>
      <c r="F497" t="s">
        <v>106</v>
      </c>
      <c r="G497" t="s">
        <v>107</v>
      </c>
      <c r="H497" t="s">
        <v>811</v>
      </c>
      <c r="I497" t="str">
        <f>_xlfn.IFNA(VLOOKUP(C497,merchants!$A$2:$D$41,2,FALSE),"Merchant not found")</f>
        <v>Merchant_037</v>
      </c>
      <c r="J497" t="str">
        <f>_xlfn.IFNA(VLOOKUP(C497,merchants!$A$2:$D$41,3,FALSE),"Merchant not found")</f>
        <v>entertainment</v>
      </c>
      <c r="K497" t="str">
        <f>_xlfn.IFNA(VLOOKUP(C497,merchants!$A$2:$D$41,4,FALSE),"Merchant not found")</f>
        <v>South</v>
      </c>
      <c r="L497">
        <f t="shared" si="21"/>
        <v>46051</v>
      </c>
      <c r="M497">
        <f t="shared" si="22"/>
        <v>0</v>
      </c>
      <c r="N497" t="str">
        <f t="shared" si="23"/>
        <v>Standard</v>
      </c>
      <c r="O497">
        <f>HLOOKUP(F497,fee_lookup!$B$1:$E$2,2,FALSE)</f>
        <v>0.01</v>
      </c>
    </row>
    <row r="498" spans="1:15" x14ac:dyDescent="0.3">
      <c r="A498" t="s">
        <v>1359</v>
      </c>
      <c r="B498" t="s">
        <v>316</v>
      </c>
      <c r="C498" t="s">
        <v>28</v>
      </c>
      <c r="D498" t="s">
        <v>1360</v>
      </c>
      <c r="E498" t="s">
        <v>227</v>
      </c>
      <c r="F498" t="s">
        <v>113</v>
      </c>
      <c r="G498" t="s">
        <v>107</v>
      </c>
      <c r="H498" t="s">
        <v>80</v>
      </c>
      <c r="I498" t="str">
        <f>_xlfn.IFNA(VLOOKUP(C498,merchants!$A$2:$D$41,2,FALSE),"Merchant not found")</f>
        <v>Merchant_009</v>
      </c>
      <c r="J498" t="str">
        <f>_xlfn.IFNA(VLOOKUP(C498,merchants!$A$2:$D$41,3,FALSE),"Merchant not found")</f>
        <v>ecommerce</v>
      </c>
      <c r="K498" t="str">
        <f>_xlfn.IFNA(VLOOKUP(C498,merchants!$A$2:$D$41,4,FALSE),"Merchant not found")</f>
        <v>North</v>
      </c>
      <c r="L498">
        <f t="shared" si="21"/>
        <v>46028</v>
      </c>
      <c r="M498">
        <f t="shared" si="22"/>
        <v>0</v>
      </c>
      <c r="N498" t="str">
        <f t="shared" si="23"/>
        <v>Standard</v>
      </c>
      <c r="O498">
        <f>HLOOKUP(F498,fee_lookup!$B$1:$E$2,2,FALSE)</f>
        <v>2E-3</v>
      </c>
    </row>
    <row r="499" spans="1:15" x14ac:dyDescent="0.3">
      <c r="A499" t="s">
        <v>1361</v>
      </c>
      <c r="B499" t="s">
        <v>313</v>
      </c>
      <c r="C499" t="s">
        <v>17</v>
      </c>
      <c r="D499" t="s">
        <v>1362</v>
      </c>
      <c r="E499" t="s">
        <v>127</v>
      </c>
      <c r="F499" t="s">
        <v>113</v>
      </c>
      <c r="G499" t="s">
        <v>107</v>
      </c>
      <c r="H499" t="s">
        <v>54</v>
      </c>
      <c r="I499" t="str">
        <f>_xlfn.IFNA(VLOOKUP(C499,merchants!$A$2:$D$41,2,FALSE),"Merchant not found")</f>
        <v>Merchant_005</v>
      </c>
      <c r="J499" t="str">
        <f>_xlfn.IFNA(VLOOKUP(C499,merchants!$A$2:$D$41,3,FALSE),"Merchant not found")</f>
        <v>recharge</v>
      </c>
      <c r="K499" t="str">
        <f>_xlfn.IFNA(VLOOKUP(C499,merchants!$A$2:$D$41,4,FALSE),"Merchant not found")</f>
        <v>South</v>
      </c>
      <c r="L499">
        <f t="shared" si="21"/>
        <v>46032</v>
      </c>
      <c r="M499">
        <f t="shared" si="22"/>
        <v>0</v>
      </c>
      <c r="N499" t="str">
        <f t="shared" si="23"/>
        <v>Standard</v>
      </c>
      <c r="O499">
        <f>HLOOKUP(F499,fee_lookup!$B$1:$E$2,2,FALSE)</f>
        <v>2E-3</v>
      </c>
    </row>
    <row r="500" spans="1:15" x14ac:dyDescent="0.3">
      <c r="A500" t="s">
        <v>1363</v>
      </c>
      <c r="B500" t="s">
        <v>171</v>
      </c>
      <c r="C500" t="s">
        <v>74</v>
      </c>
      <c r="D500" t="s">
        <v>1364</v>
      </c>
      <c r="E500" t="s">
        <v>220</v>
      </c>
      <c r="F500" t="s">
        <v>106</v>
      </c>
      <c r="G500" t="s">
        <v>107</v>
      </c>
      <c r="H500" t="s">
        <v>123</v>
      </c>
      <c r="I500" t="str">
        <f>_xlfn.IFNA(VLOOKUP(C500,merchants!$A$2:$D$41,2,FALSE),"Merchant not found")</f>
        <v>Merchant_031</v>
      </c>
      <c r="J500" t="str">
        <f>_xlfn.IFNA(VLOOKUP(C500,merchants!$A$2:$D$41,3,FALSE),"Merchant not found")</f>
        <v>bill_payment</v>
      </c>
      <c r="K500" t="str">
        <f>_xlfn.IFNA(VLOOKUP(C500,merchants!$A$2:$D$41,4,FALSE),"Merchant not found")</f>
        <v>East</v>
      </c>
      <c r="L500">
        <f t="shared" si="21"/>
        <v>46036</v>
      </c>
      <c r="M500">
        <f t="shared" si="22"/>
        <v>0</v>
      </c>
      <c r="N500" t="str">
        <f t="shared" si="23"/>
        <v>Standard</v>
      </c>
      <c r="O500">
        <f>HLOOKUP(F500,fee_lookup!$B$1:$E$2,2,FALSE)</f>
        <v>0.01</v>
      </c>
    </row>
    <row r="501" spans="1:15" x14ac:dyDescent="0.3">
      <c r="A501" t="s">
        <v>1365</v>
      </c>
      <c r="B501" t="s">
        <v>1366</v>
      </c>
      <c r="C501" t="s">
        <v>76</v>
      </c>
      <c r="D501" t="s">
        <v>1367</v>
      </c>
      <c r="E501" t="s">
        <v>227</v>
      </c>
      <c r="F501" t="s">
        <v>154</v>
      </c>
      <c r="G501" t="s">
        <v>107</v>
      </c>
      <c r="H501" t="s">
        <v>228</v>
      </c>
      <c r="I501" t="str">
        <f>_xlfn.IFNA(VLOOKUP(C501,merchants!$A$2:$D$41,2,FALSE),"Merchant not found")</f>
        <v>Merchant_032</v>
      </c>
      <c r="J501" t="str">
        <f>_xlfn.IFNA(VLOOKUP(C501,merchants!$A$2:$D$41,3,FALSE),"Merchant not found")</f>
        <v>food_delivery</v>
      </c>
      <c r="K501" t="str">
        <f>_xlfn.IFNA(VLOOKUP(C501,merchants!$A$2:$D$41,4,FALSE),"Merchant not found")</f>
        <v>West</v>
      </c>
      <c r="L501">
        <f t="shared" si="21"/>
        <v>46025</v>
      </c>
      <c r="M501">
        <f t="shared" si="22"/>
        <v>0</v>
      </c>
      <c r="N501" t="str">
        <f t="shared" si="23"/>
        <v>Standard</v>
      </c>
      <c r="O501">
        <f>HLOOKUP(F501,fee_lookup!$B$1:$E$2,2,FALSE)</f>
        <v>1.7999999999999999E-2</v>
      </c>
    </row>
    <row r="502" spans="1:15" x14ac:dyDescent="0.3">
      <c r="A502" t="s">
        <v>1368</v>
      </c>
      <c r="B502" t="s">
        <v>1369</v>
      </c>
      <c r="C502" t="s">
        <v>23</v>
      </c>
      <c r="D502" t="s">
        <v>1370</v>
      </c>
      <c r="E502" t="s">
        <v>1371</v>
      </c>
      <c r="F502" t="s">
        <v>154</v>
      </c>
      <c r="G502" t="s">
        <v>198</v>
      </c>
      <c r="H502" t="s">
        <v>114</v>
      </c>
      <c r="I502" t="str">
        <f>_xlfn.IFNA(VLOOKUP(C502,merchants!$A$2:$D$41,2,FALSE),"Merchant not found")</f>
        <v>Merchant_007</v>
      </c>
      <c r="J502" t="str">
        <f>_xlfn.IFNA(VLOOKUP(C502,merchants!$A$2:$D$41,3,FALSE),"Merchant not found")</f>
        <v>food_delivery</v>
      </c>
      <c r="K502" t="str">
        <f>_xlfn.IFNA(VLOOKUP(C502,merchants!$A$2:$D$41,4,FALSE),"Merchant not found")</f>
        <v>East</v>
      </c>
      <c r="L502">
        <f t="shared" si="21"/>
        <v>46052</v>
      </c>
      <c r="M502">
        <f t="shared" si="22"/>
        <v>0</v>
      </c>
      <c r="N502" t="str">
        <f t="shared" si="23"/>
        <v>Standard</v>
      </c>
      <c r="O502">
        <f>HLOOKUP(F502,fee_lookup!$B$1:$E$2,2,FALSE)</f>
        <v>1.7999999999999999E-2</v>
      </c>
    </row>
    <row r="503" spans="1:15" x14ac:dyDescent="0.3">
      <c r="A503" t="s">
        <v>1372</v>
      </c>
      <c r="B503" t="s">
        <v>1373</v>
      </c>
      <c r="C503" t="s">
        <v>93</v>
      </c>
      <c r="D503" t="s">
        <v>1374</v>
      </c>
      <c r="E503" t="s">
        <v>274</v>
      </c>
      <c r="F503" t="s">
        <v>154</v>
      </c>
      <c r="G503" t="s">
        <v>198</v>
      </c>
      <c r="H503" t="s">
        <v>367</v>
      </c>
      <c r="I503" t="str">
        <f>_xlfn.IFNA(VLOOKUP(C503,merchants!$A$2:$D$41,2,FALSE),"Merchant not found")</f>
        <v>Merchant_040</v>
      </c>
      <c r="J503" t="str">
        <f>_xlfn.IFNA(VLOOKUP(C503,merchants!$A$2:$D$41,3,FALSE),"Merchant not found")</f>
        <v>entertainment</v>
      </c>
      <c r="K503" t="str">
        <f>_xlfn.IFNA(VLOOKUP(C503,merchants!$A$2:$D$41,4,FALSE),"Merchant not found")</f>
        <v>South</v>
      </c>
      <c r="L503">
        <f t="shared" si="21"/>
        <v>46033</v>
      </c>
      <c r="M503">
        <f t="shared" si="22"/>
        <v>0</v>
      </c>
      <c r="N503" t="str">
        <f t="shared" si="23"/>
        <v>Standard</v>
      </c>
      <c r="O503">
        <f>HLOOKUP(F503,fee_lookup!$B$1:$E$2,2,FALSE)</f>
        <v>1.7999999999999999E-2</v>
      </c>
    </row>
    <row r="504" spans="1:15" x14ac:dyDescent="0.3">
      <c r="A504" t="s">
        <v>1375</v>
      </c>
      <c r="B504" t="s">
        <v>1376</v>
      </c>
      <c r="C504" t="s">
        <v>68</v>
      </c>
      <c r="D504" t="s">
        <v>1377</v>
      </c>
      <c r="E504" t="s">
        <v>1371</v>
      </c>
      <c r="F504" t="s">
        <v>154</v>
      </c>
      <c r="G504" t="s">
        <v>198</v>
      </c>
      <c r="H504" t="s">
        <v>114</v>
      </c>
      <c r="I504" t="str">
        <f>_xlfn.IFNA(VLOOKUP(C504,merchants!$A$2:$D$41,2,FALSE),"Merchant not found")</f>
        <v>Merchant_028</v>
      </c>
      <c r="J504" t="str">
        <f>_xlfn.IFNA(VLOOKUP(C504,merchants!$A$2:$D$41,3,FALSE),"Merchant not found")</f>
        <v>ecommerce</v>
      </c>
      <c r="K504" t="str">
        <f>_xlfn.IFNA(VLOOKUP(C504,merchants!$A$2:$D$41,4,FALSE),"Merchant not found")</f>
        <v>South</v>
      </c>
      <c r="L504">
        <f t="shared" si="21"/>
        <v>46043</v>
      </c>
      <c r="M504">
        <f t="shared" si="22"/>
        <v>0</v>
      </c>
      <c r="N504" t="str">
        <f t="shared" si="23"/>
        <v>Standard</v>
      </c>
      <c r="O504">
        <f>HLOOKUP(F504,fee_lookup!$B$1:$E$2,2,FALSE)</f>
        <v>1.7999999999999999E-2</v>
      </c>
    </row>
    <row r="505" spans="1:15" x14ac:dyDescent="0.3">
      <c r="A505" t="s">
        <v>1378</v>
      </c>
      <c r="B505" t="s">
        <v>1379</v>
      </c>
      <c r="C505" t="s">
        <v>36</v>
      </c>
      <c r="D505" t="s">
        <v>1380</v>
      </c>
      <c r="E505" t="s">
        <v>274</v>
      </c>
      <c r="F505" t="s">
        <v>154</v>
      </c>
      <c r="G505" t="s">
        <v>198</v>
      </c>
      <c r="H505" t="s">
        <v>409</v>
      </c>
      <c r="I505" t="str">
        <f>_xlfn.IFNA(VLOOKUP(C505,merchants!$A$2:$D$41,2,FALSE),"Merchant not found")</f>
        <v>Merchant_013</v>
      </c>
      <c r="J505" t="str">
        <f>_xlfn.IFNA(VLOOKUP(C505,merchants!$A$2:$D$41,3,FALSE),"Merchant not found")</f>
        <v>travel</v>
      </c>
      <c r="K505" t="str">
        <f>_xlfn.IFNA(VLOOKUP(C505,merchants!$A$2:$D$41,4,FALSE),"Merchant not found")</f>
        <v>East</v>
      </c>
      <c r="L505">
        <f t="shared" si="21"/>
        <v>46043</v>
      </c>
      <c r="M505">
        <f t="shared" si="22"/>
        <v>0</v>
      </c>
      <c r="N505" t="str">
        <f t="shared" si="23"/>
        <v>Standard</v>
      </c>
      <c r="O505">
        <f>HLOOKUP(F505,fee_lookup!$B$1:$E$2,2,FALSE)</f>
        <v>1.7999999999999999E-2</v>
      </c>
    </row>
    <row r="506" spans="1:15" x14ac:dyDescent="0.3">
      <c r="A506" t="s">
        <v>1381</v>
      </c>
      <c r="B506" t="s">
        <v>1382</v>
      </c>
      <c r="C506" t="s">
        <v>50</v>
      </c>
      <c r="D506" t="s">
        <v>1383</v>
      </c>
      <c r="E506" t="s">
        <v>274</v>
      </c>
      <c r="F506" t="s">
        <v>154</v>
      </c>
      <c r="G506" t="s">
        <v>198</v>
      </c>
      <c r="H506" t="s">
        <v>123</v>
      </c>
      <c r="I506" t="str">
        <f>_xlfn.IFNA(VLOOKUP(C506,merchants!$A$2:$D$41,2,FALSE),"Merchant not found")</f>
        <v>Merchant_019</v>
      </c>
      <c r="J506" t="str">
        <f>_xlfn.IFNA(VLOOKUP(C506,merchants!$A$2:$D$41,3,FALSE),"Merchant not found")</f>
        <v>grocery</v>
      </c>
      <c r="K506" t="str">
        <f>_xlfn.IFNA(VLOOKUP(C506,merchants!$A$2:$D$41,4,FALSE),"Merchant not found")</f>
        <v>North</v>
      </c>
      <c r="L506">
        <f t="shared" si="21"/>
        <v>46038</v>
      </c>
      <c r="M506">
        <f t="shared" si="22"/>
        <v>0</v>
      </c>
      <c r="N506" t="str">
        <f t="shared" si="23"/>
        <v>Standard</v>
      </c>
      <c r="O506">
        <f>HLOOKUP(F506,fee_lookup!$B$1:$E$2,2,FALSE)</f>
        <v>1.7999999999999999E-2</v>
      </c>
    </row>
    <row r="507" spans="1:15" x14ac:dyDescent="0.3">
      <c r="A507" t="s">
        <v>1384</v>
      </c>
      <c r="B507" t="s">
        <v>1385</v>
      </c>
      <c r="C507" t="s">
        <v>62</v>
      </c>
      <c r="D507" t="s">
        <v>1386</v>
      </c>
      <c r="E507" t="s">
        <v>105</v>
      </c>
      <c r="F507" t="s">
        <v>154</v>
      </c>
      <c r="G507" t="s">
        <v>198</v>
      </c>
      <c r="H507" t="s">
        <v>296</v>
      </c>
      <c r="I507" t="str">
        <f>_xlfn.IFNA(VLOOKUP(C507,merchants!$A$2:$D$41,2,FALSE),"Merchant not found")</f>
        <v>Merchant_025</v>
      </c>
      <c r="J507" t="str">
        <f>_xlfn.IFNA(VLOOKUP(C507,merchants!$A$2:$D$41,3,FALSE),"Merchant not found")</f>
        <v>travel</v>
      </c>
      <c r="K507" t="str">
        <f>_xlfn.IFNA(VLOOKUP(C507,merchants!$A$2:$D$41,4,FALSE),"Merchant not found")</f>
        <v>South</v>
      </c>
      <c r="L507">
        <f t="shared" si="21"/>
        <v>46051</v>
      </c>
      <c r="M507">
        <f t="shared" si="22"/>
        <v>0</v>
      </c>
      <c r="N507" t="str">
        <f t="shared" si="23"/>
        <v>Standard</v>
      </c>
      <c r="O507">
        <f>HLOOKUP(F507,fee_lookup!$B$1:$E$2,2,FALSE)</f>
        <v>1.7999999999999999E-2</v>
      </c>
    </row>
    <row r="508" spans="1:15" x14ac:dyDescent="0.3">
      <c r="A508" t="s">
        <v>1387</v>
      </c>
      <c r="B508" t="s">
        <v>1388</v>
      </c>
      <c r="C508" t="s">
        <v>87</v>
      </c>
      <c r="D508" t="s">
        <v>1389</v>
      </c>
      <c r="E508" t="s">
        <v>1371</v>
      </c>
      <c r="F508" t="s">
        <v>154</v>
      </c>
      <c r="G508" t="s">
        <v>198</v>
      </c>
      <c r="H508" t="s">
        <v>556</v>
      </c>
      <c r="I508" t="str">
        <f>_xlfn.IFNA(VLOOKUP(C508,merchants!$A$2:$D$41,2,FALSE),"Merchant not found")</f>
        <v>Merchant_037</v>
      </c>
      <c r="J508" t="str">
        <f>_xlfn.IFNA(VLOOKUP(C508,merchants!$A$2:$D$41,3,FALSE),"Merchant not found")</f>
        <v>entertainment</v>
      </c>
      <c r="K508" t="str">
        <f>_xlfn.IFNA(VLOOKUP(C508,merchants!$A$2:$D$41,4,FALSE),"Merchant not found")</f>
        <v>South</v>
      </c>
      <c r="L508">
        <f t="shared" si="21"/>
        <v>46045</v>
      </c>
      <c r="M508">
        <f t="shared" si="22"/>
        <v>0</v>
      </c>
      <c r="N508" t="str">
        <f t="shared" si="23"/>
        <v>Standard</v>
      </c>
      <c r="O508">
        <f>HLOOKUP(F508,fee_lookup!$B$1:$E$2,2,FALSE)</f>
        <v>1.7999999999999999E-2</v>
      </c>
    </row>
    <row r="509" spans="1:15" x14ac:dyDescent="0.3">
      <c r="A509" t="s">
        <v>1390</v>
      </c>
      <c r="B509" t="s">
        <v>1391</v>
      </c>
      <c r="C509" t="s">
        <v>84</v>
      </c>
      <c r="D509" t="s">
        <v>1392</v>
      </c>
      <c r="E509" t="s">
        <v>1393</v>
      </c>
      <c r="F509" t="s">
        <v>154</v>
      </c>
      <c r="G509" t="s">
        <v>198</v>
      </c>
      <c r="H509" t="s">
        <v>123</v>
      </c>
      <c r="I509" t="str">
        <f>_xlfn.IFNA(VLOOKUP(C509,merchants!$A$2:$D$41,2,FALSE),"Merchant not found")</f>
        <v>Merchant_036</v>
      </c>
      <c r="J509" t="str">
        <f>_xlfn.IFNA(VLOOKUP(C509,merchants!$A$2:$D$41,3,FALSE),"Merchant not found")</f>
        <v>entertainment</v>
      </c>
      <c r="K509" t="str">
        <f>_xlfn.IFNA(VLOOKUP(C509,merchants!$A$2:$D$41,4,FALSE),"Merchant not found")</f>
        <v>East</v>
      </c>
      <c r="L509">
        <f t="shared" si="21"/>
        <v>46050</v>
      </c>
      <c r="M509">
        <f t="shared" si="22"/>
        <v>0</v>
      </c>
      <c r="N509" t="str">
        <f t="shared" si="23"/>
        <v>Standard</v>
      </c>
      <c r="O509">
        <f>HLOOKUP(F509,fee_lookup!$B$1:$E$2,2,FALSE)</f>
        <v>1.7999999999999999E-2</v>
      </c>
    </row>
    <row r="510" spans="1:15" x14ac:dyDescent="0.3">
      <c r="A510" t="s">
        <v>1394</v>
      </c>
      <c r="B510" t="s">
        <v>1395</v>
      </c>
      <c r="C510" t="s">
        <v>70</v>
      </c>
      <c r="D510" t="s">
        <v>1396</v>
      </c>
      <c r="E510" t="s">
        <v>105</v>
      </c>
      <c r="F510" t="s">
        <v>154</v>
      </c>
      <c r="G510" t="s">
        <v>198</v>
      </c>
      <c r="H510" t="s">
        <v>296</v>
      </c>
      <c r="I510" t="str">
        <f>_xlfn.IFNA(VLOOKUP(C510,merchants!$A$2:$D$41,2,FALSE),"Merchant not found")</f>
        <v>Merchant_029</v>
      </c>
      <c r="J510" t="str">
        <f>_xlfn.IFNA(VLOOKUP(C510,merchants!$A$2:$D$41,3,FALSE),"Merchant not found")</f>
        <v>ecommerce</v>
      </c>
      <c r="K510" t="str">
        <f>_xlfn.IFNA(VLOOKUP(C510,merchants!$A$2:$D$41,4,FALSE),"Merchant not found")</f>
        <v>North</v>
      </c>
      <c r="L510">
        <f t="shared" si="21"/>
        <v>46047</v>
      </c>
      <c r="M510">
        <f t="shared" si="22"/>
        <v>0</v>
      </c>
      <c r="N510" t="str">
        <f t="shared" si="23"/>
        <v>Standard</v>
      </c>
      <c r="O510">
        <f>HLOOKUP(F510,fee_lookup!$B$1:$E$2,2,FALSE)</f>
        <v>1.7999999999999999E-2</v>
      </c>
    </row>
    <row r="511" spans="1:15" x14ac:dyDescent="0.3">
      <c r="A511" t="s">
        <v>1397</v>
      </c>
      <c r="B511" t="s">
        <v>1398</v>
      </c>
      <c r="C511" t="s">
        <v>76</v>
      </c>
      <c r="D511" t="s">
        <v>1399</v>
      </c>
      <c r="E511" t="s">
        <v>1371</v>
      </c>
      <c r="F511" t="s">
        <v>154</v>
      </c>
      <c r="G511" t="s">
        <v>198</v>
      </c>
      <c r="H511" t="s">
        <v>162</v>
      </c>
      <c r="I511" t="str">
        <f>_xlfn.IFNA(VLOOKUP(C511,merchants!$A$2:$D$41,2,FALSE),"Merchant not found")</f>
        <v>Merchant_032</v>
      </c>
      <c r="J511" t="str">
        <f>_xlfn.IFNA(VLOOKUP(C511,merchants!$A$2:$D$41,3,FALSE),"Merchant not found")</f>
        <v>food_delivery</v>
      </c>
      <c r="K511" t="str">
        <f>_xlfn.IFNA(VLOOKUP(C511,merchants!$A$2:$D$41,4,FALSE),"Merchant not found")</f>
        <v>West</v>
      </c>
      <c r="L511">
        <f t="shared" si="21"/>
        <v>46035</v>
      </c>
      <c r="M511">
        <f t="shared" si="22"/>
        <v>0</v>
      </c>
      <c r="N511" t="str">
        <f t="shared" si="23"/>
        <v>Standard</v>
      </c>
      <c r="O511">
        <f>HLOOKUP(F511,fee_lookup!$B$1:$E$2,2,FALSE)</f>
        <v>1.7999999999999999E-2</v>
      </c>
    </row>
    <row r="512" spans="1:15" x14ac:dyDescent="0.3">
      <c r="A512" t="s">
        <v>1400</v>
      </c>
      <c r="B512" t="s">
        <v>1401</v>
      </c>
      <c r="C512" t="s">
        <v>30</v>
      </c>
      <c r="D512" t="s">
        <v>1402</v>
      </c>
      <c r="E512" t="s">
        <v>274</v>
      </c>
      <c r="F512" t="s">
        <v>154</v>
      </c>
      <c r="G512" t="s">
        <v>198</v>
      </c>
      <c r="H512" t="s">
        <v>367</v>
      </c>
      <c r="I512" t="str">
        <f>_xlfn.IFNA(VLOOKUP(C512,merchants!$A$2:$D$41,2,FALSE),"Merchant not found")</f>
        <v>Merchant_010</v>
      </c>
      <c r="J512" t="str">
        <f>_xlfn.IFNA(VLOOKUP(C512,merchants!$A$2:$D$41,3,FALSE),"Merchant not found")</f>
        <v>grocery</v>
      </c>
      <c r="K512" t="str">
        <f>_xlfn.IFNA(VLOOKUP(C512,merchants!$A$2:$D$41,4,FALSE),"Merchant not found")</f>
        <v>West</v>
      </c>
      <c r="L512">
        <f t="shared" si="21"/>
        <v>46042</v>
      </c>
      <c r="M512">
        <f t="shared" si="22"/>
        <v>0</v>
      </c>
      <c r="N512" t="str">
        <f t="shared" si="23"/>
        <v>Standard</v>
      </c>
      <c r="O512">
        <f>HLOOKUP(F512,fee_lookup!$B$1:$E$2,2,FALSE)</f>
        <v>1.7999999999999999E-2</v>
      </c>
    </row>
    <row r="513" spans="1:15" x14ac:dyDescent="0.3">
      <c r="A513" t="s">
        <v>1403</v>
      </c>
      <c r="B513" t="s">
        <v>1404</v>
      </c>
      <c r="C513" t="s">
        <v>91</v>
      </c>
      <c r="D513" t="s">
        <v>1405</v>
      </c>
      <c r="E513" t="s">
        <v>274</v>
      </c>
      <c r="F513" t="s">
        <v>154</v>
      </c>
      <c r="G513" t="s">
        <v>198</v>
      </c>
      <c r="H513" t="s">
        <v>556</v>
      </c>
      <c r="I513" t="str">
        <f>_xlfn.IFNA(VLOOKUP(C513,merchants!$A$2:$D$41,2,FALSE),"Merchant not found")</f>
        <v>Merchant_039</v>
      </c>
      <c r="J513" t="str">
        <f>_xlfn.IFNA(VLOOKUP(C513,merchants!$A$2:$D$41,3,FALSE),"Merchant not found")</f>
        <v>entertainment</v>
      </c>
      <c r="K513" t="str">
        <f>_xlfn.IFNA(VLOOKUP(C513,merchants!$A$2:$D$41,4,FALSE),"Merchant not found")</f>
        <v>North</v>
      </c>
      <c r="L513">
        <f t="shared" si="21"/>
        <v>46045</v>
      </c>
      <c r="M513">
        <f t="shared" si="22"/>
        <v>0</v>
      </c>
      <c r="N513" t="str">
        <f t="shared" si="23"/>
        <v>Standard</v>
      </c>
      <c r="O513">
        <f>HLOOKUP(F513,fee_lookup!$B$1:$E$2,2,FALSE)</f>
        <v>1.7999999999999999E-2</v>
      </c>
    </row>
    <row r="514" spans="1:15" x14ac:dyDescent="0.3">
      <c r="A514" t="s">
        <v>1406</v>
      </c>
      <c r="B514" t="s">
        <v>1407</v>
      </c>
      <c r="C514" t="s">
        <v>66</v>
      </c>
      <c r="D514" t="s">
        <v>1408</v>
      </c>
      <c r="E514" t="s">
        <v>1393</v>
      </c>
      <c r="F514" t="s">
        <v>154</v>
      </c>
      <c r="G514" t="s">
        <v>198</v>
      </c>
      <c r="H514" t="s">
        <v>367</v>
      </c>
      <c r="I514" t="str">
        <f>_xlfn.IFNA(VLOOKUP(C514,merchants!$A$2:$D$41,2,FALSE),"Merchant not found")</f>
        <v>Merchant_027</v>
      </c>
      <c r="J514" t="str">
        <f>_xlfn.IFNA(VLOOKUP(C514,merchants!$A$2:$D$41,3,FALSE),"Merchant not found")</f>
        <v>ecommerce</v>
      </c>
      <c r="K514" t="str">
        <f>_xlfn.IFNA(VLOOKUP(C514,merchants!$A$2:$D$41,4,FALSE),"Merchant not found")</f>
        <v>North</v>
      </c>
      <c r="L514">
        <f t="shared" ref="L514:L548" si="24">DATE(LEFT(D514,4),MID(D514,6,2),MID(D514,9,2))</f>
        <v>46045</v>
      </c>
      <c r="M514">
        <f t="shared" ref="M514:M577" si="25">SUMIFS($E:$E,$C:$C,C514,$L:$L,L514)</f>
        <v>0</v>
      </c>
      <c r="N514" t="str">
        <f t="shared" ref="N514:N577" si="26">IF(AND(M514&gt;5000,K514&lt;&gt;"East"),"High-Value Merchant Day","Standard")</f>
        <v>Standard</v>
      </c>
      <c r="O514">
        <f>HLOOKUP(F514,fee_lookup!$B$1:$E$2,2,FALSE)</f>
        <v>1.7999999999999999E-2</v>
      </c>
    </row>
    <row r="515" spans="1:15" x14ac:dyDescent="0.3">
      <c r="A515" t="s">
        <v>1409</v>
      </c>
      <c r="B515" t="s">
        <v>1410</v>
      </c>
      <c r="C515" t="s">
        <v>91</v>
      </c>
      <c r="D515" t="s">
        <v>1411</v>
      </c>
      <c r="E515" t="s">
        <v>1393</v>
      </c>
      <c r="F515" t="s">
        <v>154</v>
      </c>
      <c r="G515" t="s">
        <v>198</v>
      </c>
      <c r="H515" t="s">
        <v>508</v>
      </c>
      <c r="I515" t="str">
        <f>_xlfn.IFNA(VLOOKUP(C515,merchants!$A$2:$D$41,2,FALSE),"Merchant not found")</f>
        <v>Merchant_039</v>
      </c>
      <c r="J515" t="str">
        <f>_xlfn.IFNA(VLOOKUP(C515,merchants!$A$2:$D$41,3,FALSE),"Merchant not found")</f>
        <v>entertainment</v>
      </c>
      <c r="K515" t="str">
        <f>_xlfn.IFNA(VLOOKUP(C515,merchants!$A$2:$D$41,4,FALSE),"Merchant not found")</f>
        <v>North</v>
      </c>
      <c r="L515">
        <f t="shared" si="24"/>
        <v>46044</v>
      </c>
      <c r="M515">
        <f t="shared" si="25"/>
        <v>0</v>
      </c>
      <c r="N515" t="str">
        <f t="shared" si="26"/>
        <v>Standard</v>
      </c>
      <c r="O515">
        <f>HLOOKUP(F515,fee_lookup!$B$1:$E$2,2,FALSE)</f>
        <v>1.7999999999999999E-2</v>
      </c>
    </row>
    <row r="516" spans="1:15" x14ac:dyDescent="0.3">
      <c r="A516" t="s">
        <v>1412</v>
      </c>
      <c r="B516" t="s">
        <v>1413</v>
      </c>
      <c r="C516" t="s">
        <v>58</v>
      </c>
      <c r="D516" t="s">
        <v>1414</v>
      </c>
      <c r="E516" t="s">
        <v>1371</v>
      </c>
      <c r="F516" t="s">
        <v>154</v>
      </c>
      <c r="G516" t="s">
        <v>198</v>
      </c>
      <c r="H516" t="s">
        <v>162</v>
      </c>
      <c r="I516" t="str">
        <f>_xlfn.IFNA(VLOOKUP(C516,merchants!$A$2:$D$41,2,FALSE),"Merchant not found")</f>
        <v>Merchant_023</v>
      </c>
      <c r="J516" t="str">
        <f>_xlfn.IFNA(VLOOKUP(C516,merchants!$A$2:$D$41,3,FALSE),"Merchant not found")</f>
        <v>travel</v>
      </c>
      <c r="K516" t="str">
        <f>_xlfn.IFNA(VLOOKUP(C516,merchants!$A$2:$D$41,4,FALSE),"Merchant not found")</f>
        <v>North</v>
      </c>
      <c r="L516">
        <f t="shared" si="24"/>
        <v>46040</v>
      </c>
      <c r="M516">
        <f t="shared" si="25"/>
        <v>0</v>
      </c>
      <c r="N516" t="str">
        <f t="shared" si="26"/>
        <v>Standard</v>
      </c>
      <c r="O516">
        <f>HLOOKUP(F516,fee_lookup!$B$1:$E$2,2,FALSE)</f>
        <v>1.7999999999999999E-2</v>
      </c>
    </row>
    <row r="517" spans="1:15" x14ac:dyDescent="0.3">
      <c r="A517" t="s">
        <v>1415</v>
      </c>
      <c r="B517" t="s">
        <v>1074</v>
      </c>
      <c r="C517" t="s">
        <v>64</v>
      </c>
      <c r="D517" t="s">
        <v>1416</v>
      </c>
      <c r="E517" t="s">
        <v>1417</v>
      </c>
      <c r="F517" t="s">
        <v>154</v>
      </c>
      <c r="G517" t="s">
        <v>155</v>
      </c>
      <c r="H517" t="s">
        <v>316</v>
      </c>
      <c r="I517" t="str">
        <f>_xlfn.IFNA(VLOOKUP(C517,merchants!$A$2:$D$41,2,FALSE),"Merchant not found")</f>
        <v>Merchant_026</v>
      </c>
      <c r="J517" t="str">
        <f>_xlfn.IFNA(VLOOKUP(C517,merchants!$A$2:$D$41,3,FALSE),"Merchant not found")</f>
        <v>food_delivery</v>
      </c>
      <c r="K517" t="str">
        <f>_xlfn.IFNA(VLOOKUP(C517,merchants!$A$2:$D$41,4,FALSE),"Merchant not found")</f>
        <v>East</v>
      </c>
      <c r="L517">
        <f t="shared" si="24"/>
        <v>46024</v>
      </c>
      <c r="M517">
        <f t="shared" si="25"/>
        <v>0</v>
      </c>
      <c r="N517" t="str">
        <f t="shared" si="26"/>
        <v>Standard</v>
      </c>
      <c r="O517">
        <f>HLOOKUP(F517,fee_lookup!$B$1:$E$2,2,FALSE)</f>
        <v>1.7999999999999999E-2</v>
      </c>
    </row>
    <row r="518" spans="1:15" x14ac:dyDescent="0.3">
      <c r="A518" t="s">
        <v>1418</v>
      </c>
      <c r="B518" t="s">
        <v>1074</v>
      </c>
      <c r="C518" t="s">
        <v>23</v>
      </c>
      <c r="D518" t="s">
        <v>1419</v>
      </c>
      <c r="E518" t="s">
        <v>145</v>
      </c>
      <c r="F518" t="s">
        <v>154</v>
      </c>
      <c r="G518" t="s">
        <v>155</v>
      </c>
      <c r="H518" t="s">
        <v>811</v>
      </c>
      <c r="I518" t="str">
        <f>_xlfn.IFNA(VLOOKUP(C518,merchants!$A$2:$D$41,2,FALSE),"Merchant not found")</f>
        <v>Merchant_007</v>
      </c>
      <c r="J518" t="str">
        <f>_xlfn.IFNA(VLOOKUP(C518,merchants!$A$2:$D$41,3,FALSE),"Merchant not found")</f>
        <v>food_delivery</v>
      </c>
      <c r="K518" t="str">
        <f>_xlfn.IFNA(VLOOKUP(C518,merchants!$A$2:$D$41,4,FALSE),"Merchant not found")</f>
        <v>East</v>
      </c>
      <c r="L518">
        <f t="shared" si="24"/>
        <v>46024</v>
      </c>
      <c r="M518">
        <f t="shared" si="25"/>
        <v>0</v>
      </c>
      <c r="N518" t="str">
        <f t="shared" si="26"/>
        <v>Standard</v>
      </c>
      <c r="O518">
        <f>HLOOKUP(F518,fee_lookup!$B$1:$E$2,2,FALSE)</f>
        <v>1.7999999999999999E-2</v>
      </c>
    </row>
    <row r="519" spans="1:15" x14ac:dyDescent="0.3">
      <c r="A519" t="s">
        <v>1420</v>
      </c>
      <c r="B519" t="s">
        <v>1074</v>
      </c>
      <c r="C519" t="s">
        <v>46</v>
      </c>
      <c r="D519" t="s">
        <v>1421</v>
      </c>
      <c r="E519" t="s">
        <v>145</v>
      </c>
      <c r="F519" t="s">
        <v>154</v>
      </c>
      <c r="G519" t="s">
        <v>155</v>
      </c>
      <c r="H519" t="s">
        <v>120</v>
      </c>
      <c r="I519" t="str">
        <f>_xlfn.IFNA(VLOOKUP(C519,merchants!$A$2:$D$41,2,FALSE),"Merchant not found")</f>
        <v>Merchant_017</v>
      </c>
      <c r="J519" t="str">
        <f>_xlfn.IFNA(VLOOKUP(C519,merchants!$A$2:$D$41,3,FALSE),"Merchant not found")</f>
        <v>grocery</v>
      </c>
      <c r="K519" t="str">
        <f>_xlfn.IFNA(VLOOKUP(C519,merchants!$A$2:$D$41,4,FALSE),"Merchant not found")</f>
        <v>North</v>
      </c>
      <c r="L519">
        <f t="shared" si="24"/>
        <v>46024</v>
      </c>
      <c r="M519">
        <f t="shared" si="25"/>
        <v>0</v>
      </c>
      <c r="N519" t="str">
        <f t="shared" si="26"/>
        <v>Standard</v>
      </c>
      <c r="O519">
        <f>HLOOKUP(F519,fee_lookup!$B$1:$E$2,2,FALSE)</f>
        <v>1.7999999999999999E-2</v>
      </c>
    </row>
    <row r="520" spans="1:15" x14ac:dyDescent="0.3">
      <c r="A520" t="s">
        <v>1422</v>
      </c>
      <c r="B520" t="s">
        <v>1074</v>
      </c>
      <c r="C520" t="s">
        <v>80</v>
      </c>
      <c r="D520" t="s">
        <v>1423</v>
      </c>
      <c r="E520" t="s">
        <v>220</v>
      </c>
      <c r="F520" t="s">
        <v>154</v>
      </c>
      <c r="G520" t="s">
        <v>107</v>
      </c>
      <c r="H520" t="s">
        <v>150</v>
      </c>
      <c r="I520" t="str">
        <f>_xlfn.IFNA(VLOOKUP(C520,merchants!$A$2:$D$41,2,FALSE),"Merchant not found")</f>
        <v>Merchant_034</v>
      </c>
      <c r="J520" t="str">
        <f>_xlfn.IFNA(VLOOKUP(C520,merchants!$A$2:$D$41,3,FALSE),"Merchant not found")</f>
        <v>travel</v>
      </c>
      <c r="K520" t="str">
        <f>_xlfn.IFNA(VLOOKUP(C520,merchants!$A$2:$D$41,4,FALSE),"Merchant not found")</f>
        <v>South</v>
      </c>
      <c r="L520">
        <f t="shared" si="24"/>
        <v>46024</v>
      </c>
      <c r="M520">
        <f t="shared" si="25"/>
        <v>0</v>
      </c>
      <c r="N520" t="str">
        <f t="shared" si="26"/>
        <v>Standard</v>
      </c>
      <c r="O520">
        <f>HLOOKUP(F520,fee_lookup!$B$1:$E$2,2,FALSE)</f>
        <v>1.7999999999999999E-2</v>
      </c>
    </row>
    <row r="521" spans="1:15" x14ac:dyDescent="0.3">
      <c r="A521" t="s">
        <v>1424</v>
      </c>
      <c r="B521" t="s">
        <v>952</v>
      </c>
      <c r="C521" t="s">
        <v>72</v>
      </c>
      <c r="D521" t="s">
        <v>1425</v>
      </c>
      <c r="E521" t="s">
        <v>220</v>
      </c>
      <c r="F521" t="s">
        <v>154</v>
      </c>
      <c r="G521" t="s">
        <v>155</v>
      </c>
      <c r="H521" t="s">
        <v>120</v>
      </c>
      <c r="I521" t="str">
        <f>_xlfn.IFNA(VLOOKUP(C521,merchants!$A$2:$D$41,2,FALSE),"Merchant not found")</f>
        <v>Merchant_030</v>
      </c>
      <c r="J521" t="str">
        <f>_xlfn.IFNA(VLOOKUP(C521,merchants!$A$2:$D$41,3,FALSE),"Merchant not found")</f>
        <v>travel</v>
      </c>
      <c r="K521" t="str">
        <f>_xlfn.IFNA(VLOOKUP(C521,merchants!$A$2:$D$41,4,FALSE),"Merchant not found")</f>
        <v>West</v>
      </c>
      <c r="L521">
        <f t="shared" si="24"/>
        <v>46034</v>
      </c>
      <c r="M521">
        <f t="shared" si="25"/>
        <v>0</v>
      </c>
      <c r="N521" t="str">
        <f t="shared" si="26"/>
        <v>Standard</v>
      </c>
      <c r="O521">
        <f>HLOOKUP(F521,fee_lookup!$B$1:$E$2,2,FALSE)</f>
        <v>1.7999999999999999E-2</v>
      </c>
    </row>
    <row r="522" spans="1:15" x14ac:dyDescent="0.3">
      <c r="A522" t="s">
        <v>1426</v>
      </c>
      <c r="B522" t="s">
        <v>952</v>
      </c>
      <c r="C522" t="s">
        <v>30</v>
      </c>
      <c r="D522" t="s">
        <v>1427</v>
      </c>
      <c r="E522" t="s">
        <v>1417</v>
      </c>
      <c r="F522" t="s">
        <v>154</v>
      </c>
      <c r="G522" t="s">
        <v>155</v>
      </c>
      <c r="H522" t="s">
        <v>259</v>
      </c>
      <c r="I522" t="str">
        <f>_xlfn.IFNA(VLOOKUP(C522,merchants!$A$2:$D$41,2,FALSE),"Merchant not found")</f>
        <v>Merchant_010</v>
      </c>
      <c r="J522" t="str">
        <f>_xlfn.IFNA(VLOOKUP(C522,merchants!$A$2:$D$41,3,FALSE),"Merchant not found")</f>
        <v>grocery</v>
      </c>
      <c r="K522" t="str">
        <f>_xlfn.IFNA(VLOOKUP(C522,merchants!$A$2:$D$41,4,FALSE),"Merchant not found")</f>
        <v>West</v>
      </c>
      <c r="L522">
        <f t="shared" si="24"/>
        <v>46034</v>
      </c>
      <c r="M522">
        <f t="shared" si="25"/>
        <v>0</v>
      </c>
      <c r="N522" t="str">
        <f t="shared" si="26"/>
        <v>Standard</v>
      </c>
      <c r="O522">
        <f>HLOOKUP(F522,fee_lookup!$B$1:$E$2,2,FALSE)</f>
        <v>1.7999999999999999E-2</v>
      </c>
    </row>
    <row r="523" spans="1:15" x14ac:dyDescent="0.3">
      <c r="A523" t="s">
        <v>1428</v>
      </c>
      <c r="B523" t="s">
        <v>952</v>
      </c>
      <c r="C523" t="s">
        <v>74</v>
      </c>
      <c r="D523" t="s">
        <v>1429</v>
      </c>
      <c r="E523" t="s">
        <v>145</v>
      </c>
      <c r="F523" t="s">
        <v>154</v>
      </c>
      <c r="G523" t="s">
        <v>155</v>
      </c>
      <c r="H523" t="s">
        <v>208</v>
      </c>
      <c r="I523" t="str">
        <f>_xlfn.IFNA(VLOOKUP(C523,merchants!$A$2:$D$41,2,FALSE),"Merchant not found")</f>
        <v>Merchant_031</v>
      </c>
      <c r="J523" t="str">
        <f>_xlfn.IFNA(VLOOKUP(C523,merchants!$A$2:$D$41,3,FALSE),"Merchant not found")</f>
        <v>bill_payment</v>
      </c>
      <c r="K523" t="str">
        <f>_xlfn.IFNA(VLOOKUP(C523,merchants!$A$2:$D$41,4,FALSE),"Merchant not found")</f>
        <v>East</v>
      </c>
      <c r="L523">
        <f t="shared" si="24"/>
        <v>46034</v>
      </c>
      <c r="M523">
        <f t="shared" si="25"/>
        <v>0</v>
      </c>
      <c r="N523" t="str">
        <f t="shared" si="26"/>
        <v>Standard</v>
      </c>
      <c r="O523">
        <f>HLOOKUP(F523,fee_lookup!$B$1:$E$2,2,FALSE)</f>
        <v>1.7999999999999999E-2</v>
      </c>
    </row>
    <row r="524" spans="1:15" x14ac:dyDescent="0.3">
      <c r="A524" t="s">
        <v>1430</v>
      </c>
      <c r="B524" t="s">
        <v>952</v>
      </c>
      <c r="C524" t="s">
        <v>66</v>
      </c>
      <c r="D524" t="s">
        <v>1431</v>
      </c>
      <c r="E524" t="s">
        <v>145</v>
      </c>
      <c r="F524" t="s">
        <v>154</v>
      </c>
      <c r="G524" t="s">
        <v>107</v>
      </c>
      <c r="H524" t="s">
        <v>679</v>
      </c>
      <c r="I524" t="str">
        <f>_xlfn.IFNA(VLOOKUP(C524,merchants!$A$2:$D$41,2,FALSE),"Merchant not found")</f>
        <v>Merchant_027</v>
      </c>
      <c r="J524" t="str">
        <f>_xlfn.IFNA(VLOOKUP(C524,merchants!$A$2:$D$41,3,FALSE),"Merchant not found")</f>
        <v>ecommerce</v>
      </c>
      <c r="K524" t="str">
        <f>_xlfn.IFNA(VLOOKUP(C524,merchants!$A$2:$D$41,4,FALSE),"Merchant not found")</f>
        <v>North</v>
      </c>
      <c r="L524">
        <f t="shared" si="24"/>
        <v>46034</v>
      </c>
      <c r="M524">
        <f t="shared" si="25"/>
        <v>0</v>
      </c>
      <c r="N524" t="str">
        <f t="shared" si="26"/>
        <v>Standard</v>
      </c>
      <c r="O524">
        <f>HLOOKUP(F524,fee_lookup!$B$1:$E$2,2,FALSE)</f>
        <v>1.7999999999999999E-2</v>
      </c>
    </row>
    <row r="525" spans="1:15" x14ac:dyDescent="0.3">
      <c r="A525" t="s">
        <v>1432</v>
      </c>
      <c r="B525" t="s">
        <v>508</v>
      </c>
      <c r="C525" t="s">
        <v>56</v>
      </c>
      <c r="D525" t="s">
        <v>1433</v>
      </c>
      <c r="E525" t="s">
        <v>1417</v>
      </c>
      <c r="F525" t="s">
        <v>154</v>
      </c>
      <c r="G525" t="s">
        <v>155</v>
      </c>
      <c r="H525" t="s">
        <v>508</v>
      </c>
      <c r="I525" t="str">
        <f>_xlfn.IFNA(VLOOKUP(C525,merchants!$A$2:$D$41,2,FALSE),"Merchant not found")</f>
        <v>Merchant_022</v>
      </c>
      <c r="J525" t="str">
        <f>_xlfn.IFNA(VLOOKUP(C525,merchants!$A$2:$D$41,3,FALSE),"Merchant not found")</f>
        <v>travel</v>
      </c>
      <c r="K525" t="str">
        <f>_xlfn.IFNA(VLOOKUP(C525,merchants!$A$2:$D$41,4,FALSE),"Merchant not found")</f>
        <v>South</v>
      </c>
      <c r="L525">
        <f t="shared" si="24"/>
        <v>46034</v>
      </c>
      <c r="M525">
        <f t="shared" si="25"/>
        <v>0</v>
      </c>
      <c r="N525" t="str">
        <f t="shared" si="26"/>
        <v>Standard</v>
      </c>
      <c r="O525">
        <f>HLOOKUP(F525,fee_lookup!$B$1:$E$2,2,FALSE)</f>
        <v>1.7999999999999999E-2</v>
      </c>
    </row>
    <row r="526" spans="1:15" x14ac:dyDescent="0.3">
      <c r="A526" t="s">
        <v>1434</v>
      </c>
      <c r="B526" t="s">
        <v>508</v>
      </c>
      <c r="C526" t="s">
        <v>80</v>
      </c>
      <c r="D526" t="s">
        <v>1435</v>
      </c>
      <c r="E526" t="s">
        <v>1417</v>
      </c>
      <c r="F526" t="s">
        <v>154</v>
      </c>
      <c r="G526" t="s">
        <v>155</v>
      </c>
      <c r="H526" t="s">
        <v>281</v>
      </c>
      <c r="I526" t="str">
        <f>_xlfn.IFNA(VLOOKUP(C526,merchants!$A$2:$D$41,2,FALSE),"Merchant not found")</f>
        <v>Merchant_034</v>
      </c>
      <c r="J526" t="str">
        <f>_xlfn.IFNA(VLOOKUP(C526,merchants!$A$2:$D$41,3,FALSE),"Merchant not found")</f>
        <v>travel</v>
      </c>
      <c r="K526" t="str">
        <f>_xlfn.IFNA(VLOOKUP(C526,merchants!$A$2:$D$41,4,FALSE),"Merchant not found")</f>
        <v>South</v>
      </c>
      <c r="L526">
        <f t="shared" si="24"/>
        <v>46034</v>
      </c>
      <c r="M526">
        <f t="shared" si="25"/>
        <v>0</v>
      </c>
      <c r="N526" t="str">
        <f t="shared" si="26"/>
        <v>Standard</v>
      </c>
      <c r="O526">
        <f>HLOOKUP(F526,fee_lookup!$B$1:$E$2,2,FALSE)</f>
        <v>1.7999999999999999E-2</v>
      </c>
    </row>
    <row r="527" spans="1:15" x14ac:dyDescent="0.3">
      <c r="A527" t="s">
        <v>1436</v>
      </c>
      <c r="B527" t="s">
        <v>508</v>
      </c>
      <c r="C527" t="s">
        <v>74</v>
      </c>
      <c r="D527" t="s">
        <v>1437</v>
      </c>
      <c r="E527" t="s">
        <v>145</v>
      </c>
      <c r="F527" t="s">
        <v>154</v>
      </c>
      <c r="G527" t="s">
        <v>155</v>
      </c>
      <c r="H527" t="s">
        <v>556</v>
      </c>
      <c r="I527" t="str">
        <f>_xlfn.IFNA(VLOOKUP(C527,merchants!$A$2:$D$41,2,FALSE),"Merchant not found")</f>
        <v>Merchant_031</v>
      </c>
      <c r="J527" t="str">
        <f>_xlfn.IFNA(VLOOKUP(C527,merchants!$A$2:$D$41,3,FALSE),"Merchant not found")</f>
        <v>bill_payment</v>
      </c>
      <c r="K527" t="str">
        <f>_xlfn.IFNA(VLOOKUP(C527,merchants!$A$2:$D$41,4,FALSE),"Merchant not found")</f>
        <v>East</v>
      </c>
      <c r="L527">
        <f t="shared" si="24"/>
        <v>46034</v>
      </c>
      <c r="M527">
        <f t="shared" si="25"/>
        <v>0</v>
      </c>
      <c r="N527" t="str">
        <f t="shared" si="26"/>
        <v>Standard</v>
      </c>
      <c r="O527">
        <f>HLOOKUP(F527,fee_lookup!$B$1:$E$2,2,FALSE)</f>
        <v>1.7999999999999999E-2</v>
      </c>
    </row>
    <row r="528" spans="1:15" x14ac:dyDescent="0.3">
      <c r="A528" t="s">
        <v>1438</v>
      </c>
      <c r="B528" t="s">
        <v>508</v>
      </c>
      <c r="C528" t="s">
        <v>70</v>
      </c>
      <c r="D528" t="s">
        <v>1439</v>
      </c>
      <c r="E528" t="s">
        <v>1417</v>
      </c>
      <c r="F528" t="s">
        <v>154</v>
      </c>
      <c r="G528" t="s">
        <v>107</v>
      </c>
      <c r="H528" t="s">
        <v>323</v>
      </c>
      <c r="I528" t="str">
        <f>_xlfn.IFNA(VLOOKUP(C528,merchants!$A$2:$D$41,2,FALSE),"Merchant not found")</f>
        <v>Merchant_029</v>
      </c>
      <c r="J528" t="str">
        <f>_xlfn.IFNA(VLOOKUP(C528,merchants!$A$2:$D$41,3,FALSE),"Merchant not found")</f>
        <v>ecommerce</v>
      </c>
      <c r="K528" t="str">
        <f>_xlfn.IFNA(VLOOKUP(C528,merchants!$A$2:$D$41,4,FALSE),"Merchant not found")</f>
        <v>North</v>
      </c>
      <c r="L528">
        <f t="shared" si="24"/>
        <v>46034</v>
      </c>
      <c r="M528">
        <f t="shared" si="25"/>
        <v>0</v>
      </c>
      <c r="N528" t="str">
        <f t="shared" si="26"/>
        <v>Standard</v>
      </c>
      <c r="O528">
        <f>HLOOKUP(F528,fee_lookup!$B$1:$E$2,2,FALSE)</f>
        <v>1.7999999999999999E-2</v>
      </c>
    </row>
    <row r="529" spans="1:15" x14ac:dyDescent="0.3">
      <c r="A529" t="s">
        <v>1440</v>
      </c>
      <c r="B529" t="s">
        <v>171</v>
      </c>
      <c r="C529" t="s">
        <v>25</v>
      </c>
      <c r="D529" t="s">
        <v>1441</v>
      </c>
      <c r="E529" t="s">
        <v>145</v>
      </c>
      <c r="F529" t="s">
        <v>154</v>
      </c>
      <c r="G529" t="s">
        <v>155</v>
      </c>
      <c r="H529" t="s">
        <v>413</v>
      </c>
      <c r="I529" t="str">
        <f>_xlfn.IFNA(VLOOKUP(C529,merchants!$A$2:$D$41,2,FALSE),"Merchant not found")</f>
        <v>Merchant_008</v>
      </c>
      <c r="J529" t="str">
        <f>_xlfn.IFNA(VLOOKUP(C529,merchants!$A$2:$D$41,3,FALSE),"Merchant not found")</f>
        <v>food_delivery</v>
      </c>
      <c r="K529" t="str">
        <f>_xlfn.IFNA(VLOOKUP(C529,merchants!$A$2:$D$41,4,FALSE),"Merchant not found")</f>
        <v>North</v>
      </c>
      <c r="L529">
        <f t="shared" si="24"/>
        <v>46024</v>
      </c>
      <c r="M529">
        <f t="shared" si="25"/>
        <v>0</v>
      </c>
      <c r="N529" t="str">
        <f t="shared" si="26"/>
        <v>Standard</v>
      </c>
      <c r="O529">
        <f>HLOOKUP(F529,fee_lookup!$B$1:$E$2,2,FALSE)</f>
        <v>1.7999999999999999E-2</v>
      </c>
    </row>
    <row r="530" spans="1:15" x14ac:dyDescent="0.3">
      <c r="A530" t="s">
        <v>1442</v>
      </c>
      <c r="B530" t="s">
        <v>171</v>
      </c>
      <c r="C530" t="s">
        <v>23</v>
      </c>
      <c r="D530" t="s">
        <v>1443</v>
      </c>
      <c r="E530" t="s">
        <v>220</v>
      </c>
      <c r="F530" t="s">
        <v>154</v>
      </c>
      <c r="G530" t="s">
        <v>155</v>
      </c>
      <c r="H530" t="s">
        <v>176</v>
      </c>
      <c r="I530" t="str">
        <f>_xlfn.IFNA(VLOOKUP(C530,merchants!$A$2:$D$41,2,FALSE),"Merchant not found")</f>
        <v>Merchant_007</v>
      </c>
      <c r="J530" t="str">
        <f>_xlfn.IFNA(VLOOKUP(C530,merchants!$A$2:$D$41,3,FALSE),"Merchant not found")</f>
        <v>food_delivery</v>
      </c>
      <c r="K530" t="str">
        <f>_xlfn.IFNA(VLOOKUP(C530,merchants!$A$2:$D$41,4,FALSE),"Merchant not found")</f>
        <v>East</v>
      </c>
      <c r="L530">
        <f t="shared" si="24"/>
        <v>46024</v>
      </c>
      <c r="M530">
        <f t="shared" si="25"/>
        <v>0</v>
      </c>
      <c r="N530" t="str">
        <f t="shared" si="26"/>
        <v>Standard</v>
      </c>
      <c r="O530">
        <f>HLOOKUP(F530,fee_lookup!$B$1:$E$2,2,FALSE)</f>
        <v>1.7999999999999999E-2</v>
      </c>
    </row>
    <row r="531" spans="1:15" x14ac:dyDescent="0.3">
      <c r="A531" t="s">
        <v>1444</v>
      </c>
      <c r="B531" t="s">
        <v>171</v>
      </c>
      <c r="C531" t="s">
        <v>43</v>
      </c>
      <c r="D531" t="s">
        <v>1445</v>
      </c>
      <c r="E531" t="s">
        <v>220</v>
      </c>
      <c r="F531" t="s">
        <v>154</v>
      </c>
      <c r="G531" t="s">
        <v>155</v>
      </c>
      <c r="H531" t="s">
        <v>592</v>
      </c>
      <c r="I531" t="str">
        <f>_xlfn.IFNA(VLOOKUP(C531,merchants!$A$2:$D$41,2,FALSE),"Merchant not found")</f>
        <v>Merchant_016</v>
      </c>
      <c r="J531" t="str">
        <f>_xlfn.IFNA(VLOOKUP(C531,merchants!$A$2:$D$41,3,FALSE),"Merchant not found")</f>
        <v>bill_payment</v>
      </c>
      <c r="K531" t="str">
        <f>_xlfn.IFNA(VLOOKUP(C531,merchants!$A$2:$D$41,4,FALSE),"Merchant not found")</f>
        <v>West</v>
      </c>
      <c r="L531">
        <f t="shared" si="24"/>
        <v>46024</v>
      </c>
      <c r="M531">
        <f t="shared" si="25"/>
        <v>0</v>
      </c>
      <c r="N531" t="str">
        <f t="shared" si="26"/>
        <v>Standard</v>
      </c>
      <c r="O531">
        <f>HLOOKUP(F531,fee_lookup!$B$1:$E$2,2,FALSE)</f>
        <v>1.7999999999999999E-2</v>
      </c>
    </row>
    <row r="532" spans="1:15" x14ac:dyDescent="0.3">
      <c r="A532" t="s">
        <v>1446</v>
      </c>
      <c r="B532" t="s">
        <v>171</v>
      </c>
      <c r="C532" t="s">
        <v>84</v>
      </c>
      <c r="D532" t="s">
        <v>1447</v>
      </c>
      <c r="E532" t="s">
        <v>145</v>
      </c>
      <c r="F532" t="s">
        <v>154</v>
      </c>
      <c r="G532" t="s">
        <v>107</v>
      </c>
      <c r="H532" t="s">
        <v>413</v>
      </c>
      <c r="I532" t="str">
        <f>_xlfn.IFNA(VLOOKUP(C532,merchants!$A$2:$D$41,2,FALSE),"Merchant not found")</f>
        <v>Merchant_036</v>
      </c>
      <c r="J532" t="str">
        <f>_xlfn.IFNA(VLOOKUP(C532,merchants!$A$2:$D$41,3,FALSE),"Merchant not found")</f>
        <v>entertainment</v>
      </c>
      <c r="K532" t="str">
        <f>_xlfn.IFNA(VLOOKUP(C532,merchants!$A$2:$D$41,4,FALSE),"Merchant not found")</f>
        <v>East</v>
      </c>
      <c r="L532">
        <f t="shared" si="24"/>
        <v>46024</v>
      </c>
      <c r="M532">
        <f t="shared" si="25"/>
        <v>0</v>
      </c>
      <c r="N532" t="str">
        <f t="shared" si="26"/>
        <v>Standard</v>
      </c>
      <c r="O532">
        <f>HLOOKUP(F532,fee_lookup!$B$1:$E$2,2,FALSE)</f>
        <v>1.7999999999999999E-2</v>
      </c>
    </row>
    <row r="533" spans="1:15" x14ac:dyDescent="0.3">
      <c r="A533" t="s">
        <v>1448</v>
      </c>
      <c r="B533" t="s">
        <v>110</v>
      </c>
      <c r="C533" t="s">
        <v>41</v>
      </c>
      <c r="D533" t="s">
        <v>1449</v>
      </c>
      <c r="E533" t="s">
        <v>1417</v>
      </c>
      <c r="F533" t="s">
        <v>154</v>
      </c>
      <c r="G533" t="s">
        <v>155</v>
      </c>
      <c r="H533" t="s">
        <v>592</v>
      </c>
      <c r="I533" t="str">
        <f>_xlfn.IFNA(VLOOKUP(C533,merchants!$A$2:$D$41,2,FALSE),"Merchant not found")</f>
        <v>Merchant_015</v>
      </c>
      <c r="J533" t="str">
        <f>_xlfn.IFNA(VLOOKUP(C533,merchants!$A$2:$D$41,3,FALSE),"Merchant not found")</f>
        <v>travel</v>
      </c>
      <c r="K533" t="str">
        <f>_xlfn.IFNA(VLOOKUP(C533,merchants!$A$2:$D$41,4,FALSE),"Merchant not found")</f>
        <v>North</v>
      </c>
      <c r="L533">
        <f t="shared" si="24"/>
        <v>46036</v>
      </c>
      <c r="M533">
        <f t="shared" si="25"/>
        <v>0</v>
      </c>
      <c r="N533" t="str">
        <f t="shared" si="26"/>
        <v>Standard</v>
      </c>
      <c r="O533">
        <f>HLOOKUP(F533,fee_lookup!$B$1:$E$2,2,FALSE)</f>
        <v>1.7999999999999999E-2</v>
      </c>
    </row>
    <row r="534" spans="1:15" x14ac:dyDescent="0.3">
      <c r="A534" t="s">
        <v>1450</v>
      </c>
      <c r="B534" t="s">
        <v>110</v>
      </c>
      <c r="C534" t="s">
        <v>34</v>
      </c>
      <c r="D534" t="s">
        <v>1451</v>
      </c>
      <c r="E534" t="s">
        <v>220</v>
      </c>
      <c r="F534" t="s">
        <v>154</v>
      </c>
      <c r="G534" t="s">
        <v>155</v>
      </c>
      <c r="H534" t="s">
        <v>316</v>
      </c>
      <c r="I534" t="str">
        <f>_xlfn.IFNA(VLOOKUP(C534,merchants!$A$2:$D$41,2,FALSE),"Merchant not found")</f>
        <v>Merchant_012</v>
      </c>
      <c r="J534" t="str">
        <f>_xlfn.IFNA(VLOOKUP(C534,merchants!$A$2:$D$41,3,FALSE),"Merchant not found")</f>
        <v>ecommerce</v>
      </c>
      <c r="K534" t="str">
        <f>_xlfn.IFNA(VLOOKUP(C534,merchants!$A$2:$D$41,4,FALSE),"Merchant not found")</f>
        <v>East</v>
      </c>
      <c r="L534">
        <f t="shared" si="24"/>
        <v>46036</v>
      </c>
      <c r="M534">
        <f t="shared" si="25"/>
        <v>0</v>
      </c>
      <c r="N534" t="str">
        <f t="shared" si="26"/>
        <v>Standard</v>
      </c>
      <c r="O534">
        <f>HLOOKUP(F534,fee_lookup!$B$1:$E$2,2,FALSE)</f>
        <v>1.7999999999999999E-2</v>
      </c>
    </row>
    <row r="535" spans="1:15" x14ac:dyDescent="0.3">
      <c r="A535" t="s">
        <v>1452</v>
      </c>
      <c r="B535" t="s">
        <v>110</v>
      </c>
      <c r="C535" t="s">
        <v>64</v>
      </c>
      <c r="D535" t="s">
        <v>1453</v>
      </c>
      <c r="E535" t="s">
        <v>145</v>
      </c>
      <c r="F535" t="s">
        <v>154</v>
      </c>
      <c r="G535" t="s">
        <v>155</v>
      </c>
      <c r="H535" t="s">
        <v>301</v>
      </c>
      <c r="I535" t="str">
        <f>_xlfn.IFNA(VLOOKUP(C535,merchants!$A$2:$D$41,2,FALSE),"Merchant not found")</f>
        <v>Merchant_026</v>
      </c>
      <c r="J535" t="str">
        <f>_xlfn.IFNA(VLOOKUP(C535,merchants!$A$2:$D$41,3,FALSE),"Merchant not found")</f>
        <v>food_delivery</v>
      </c>
      <c r="K535" t="str">
        <f>_xlfn.IFNA(VLOOKUP(C535,merchants!$A$2:$D$41,4,FALSE),"Merchant not found")</f>
        <v>East</v>
      </c>
      <c r="L535">
        <f t="shared" si="24"/>
        <v>46036</v>
      </c>
      <c r="M535">
        <f t="shared" si="25"/>
        <v>0</v>
      </c>
      <c r="N535" t="str">
        <f t="shared" si="26"/>
        <v>Standard</v>
      </c>
      <c r="O535">
        <f>HLOOKUP(F535,fee_lookup!$B$1:$E$2,2,FALSE)</f>
        <v>1.7999999999999999E-2</v>
      </c>
    </row>
    <row r="536" spans="1:15" x14ac:dyDescent="0.3">
      <c r="A536" t="s">
        <v>1454</v>
      </c>
      <c r="B536" t="s">
        <v>110</v>
      </c>
      <c r="C536" t="s">
        <v>70</v>
      </c>
      <c r="D536" t="s">
        <v>1455</v>
      </c>
      <c r="E536" t="s">
        <v>220</v>
      </c>
      <c r="F536" t="s">
        <v>154</v>
      </c>
      <c r="G536" t="s">
        <v>107</v>
      </c>
      <c r="H536" t="s">
        <v>316</v>
      </c>
      <c r="I536" t="str">
        <f>_xlfn.IFNA(VLOOKUP(C536,merchants!$A$2:$D$41,2,FALSE),"Merchant not found")</f>
        <v>Merchant_029</v>
      </c>
      <c r="J536" t="str">
        <f>_xlfn.IFNA(VLOOKUP(C536,merchants!$A$2:$D$41,3,FALSE),"Merchant not found")</f>
        <v>ecommerce</v>
      </c>
      <c r="K536" t="str">
        <f>_xlfn.IFNA(VLOOKUP(C536,merchants!$A$2:$D$41,4,FALSE),"Merchant not found")</f>
        <v>North</v>
      </c>
      <c r="L536">
        <f t="shared" si="24"/>
        <v>46036</v>
      </c>
      <c r="M536">
        <f t="shared" si="25"/>
        <v>0</v>
      </c>
      <c r="N536" t="str">
        <f t="shared" si="26"/>
        <v>Standard</v>
      </c>
      <c r="O536">
        <f>HLOOKUP(F536,fee_lookup!$B$1:$E$2,2,FALSE)</f>
        <v>1.7999999999999999E-2</v>
      </c>
    </row>
    <row r="537" spans="1:15" x14ac:dyDescent="0.3">
      <c r="A537" t="s">
        <v>1456</v>
      </c>
      <c r="B537" t="s">
        <v>261</v>
      </c>
      <c r="C537" t="s">
        <v>39</v>
      </c>
      <c r="D537" t="s">
        <v>1457</v>
      </c>
      <c r="E537" t="s">
        <v>145</v>
      </c>
      <c r="F537" t="s">
        <v>154</v>
      </c>
      <c r="G537" t="s">
        <v>155</v>
      </c>
      <c r="H537" t="s">
        <v>567</v>
      </c>
      <c r="I537" t="str">
        <f>_xlfn.IFNA(VLOOKUP(C537,merchants!$A$2:$D$41,2,FALSE),"Merchant not found")</f>
        <v>Merchant_014</v>
      </c>
      <c r="J537" t="str">
        <f>_xlfn.IFNA(VLOOKUP(C537,merchants!$A$2:$D$41,3,FALSE),"Merchant not found")</f>
        <v>grocery</v>
      </c>
      <c r="K537" t="str">
        <f>_xlfn.IFNA(VLOOKUP(C537,merchants!$A$2:$D$41,4,FALSE),"Merchant not found")</f>
        <v>East</v>
      </c>
      <c r="L537">
        <f t="shared" si="24"/>
        <v>46023</v>
      </c>
      <c r="M537">
        <f t="shared" si="25"/>
        <v>0</v>
      </c>
      <c r="N537" t="str">
        <f t="shared" si="26"/>
        <v>Standard</v>
      </c>
      <c r="O537">
        <f>HLOOKUP(F537,fee_lookup!$B$1:$E$2,2,FALSE)</f>
        <v>1.7999999999999999E-2</v>
      </c>
    </row>
    <row r="538" spans="1:15" x14ac:dyDescent="0.3">
      <c r="A538" t="s">
        <v>1458</v>
      </c>
      <c r="B538" t="s">
        <v>261</v>
      </c>
      <c r="C538" t="s">
        <v>17</v>
      </c>
      <c r="D538" t="s">
        <v>1459</v>
      </c>
      <c r="E538" t="s">
        <v>220</v>
      </c>
      <c r="F538" t="s">
        <v>154</v>
      </c>
      <c r="G538" t="s">
        <v>155</v>
      </c>
      <c r="H538" t="s">
        <v>811</v>
      </c>
      <c r="I538" t="str">
        <f>_xlfn.IFNA(VLOOKUP(C538,merchants!$A$2:$D$41,2,FALSE),"Merchant not found")</f>
        <v>Merchant_005</v>
      </c>
      <c r="J538" t="str">
        <f>_xlfn.IFNA(VLOOKUP(C538,merchants!$A$2:$D$41,3,FALSE),"Merchant not found")</f>
        <v>recharge</v>
      </c>
      <c r="K538" t="str">
        <f>_xlfn.IFNA(VLOOKUP(C538,merchants!$A$2:$D$41,4,FALSE),"Merchant not found")</f>
        <v>South</v>
      </c>
      <c r="L538">
        <f t="shared" si="24"/>
        <v>46023</v>
      </c>
      <c r="M538">
        <f t="shared" si="25"/>
        <v>0</v>
      </c>
      <c r="N538" t="str">
        <f t="shared" si="26"/>
        <v>Standard</v>
      </c>
      <c r="O538">
        <f>HLOOKUP(F538,fee_lookup!$B$1:$E$2,2,FALSE)</f>
        <v>1.7999999999999999E-2</v>
      </c>
    </row>
    <row r="539" spans="1:15" x14ac:dyDescent="0.3">
      <c r="A539" t="s">
        <v>1460</v>
      </c>
      <c r="B539" t="s">
        <v>261</v>
      </c>
      <c r="C539" t="s">
        <v>82</v>
      </c>
      <c r="D539" t="s">
        <v>1461</v>
      </c>
      <c r="E539" t="s">
        <v>145</v>
      </c>
      <c r="F539" t="s">
        <v>154</v>
      </c>
      <c r="G539" t="s">
        <v>155</v>
      </c>
      <c r="H539" t="s">
        <v>519</v>
      </c>
      <c r="I539" t="str">
        <f>_xlfn.IFNA(VLOOKUP(C539,merchants!$A$2:$D$41,2,FALSE),"Merchant not found")</f>
        <v>Merchant_035</v>
      </c>
      <c r="J539" t="str">
        <f>_xlfn.IFNA(VLOOKUP(C539,merchants!$A$2:$D$41,3,FALSE),"Merchant not found")</f>
        <v>recharge</v>
      </c>
      <c r="K539" t="str">
        <f>_xlfn.IFNA(VLOOKUP(C539,merchants!$A$2:$D$41,4,FALSE),"Merchant not found")</f>
        <v>East</v>
      </c>
      <c r="L539">
        <f t="shared" si="24"/>
        <v>46023</v>
      </c>
      <c r="M539">
        <f t="shared" si="25"/>
        <v>0</v>
      </c>
      <c r="N539" t="str">
        <f t="shared" si="26"/>
        <v>Standard</v>
      </c>
      <c r="O539">
        <f>HLOOKUP(F539,fee_lookup!$B$1:$E$2,2,FALSE)</f>
        <v>1.7999999999999999E-2</v>
      </c>
    </row>
    <row r="540" spans="1:15" x14ac:dyDescent="0.3">
      <c r="A540" t="s">
        <v>1462</v>
      </c>
      <c r="B540" t="s">
        <v>261</v>
      </c>
      <c r="C540" t="s">
        <v>54</v>
      </c>
      <c r="D540" t="s">
        <v>1463</v>
      </c>
      <c r="E540" t="s">
        <v>145</v>
      </c>
      <c r="F540" t="s">
        <v>154</v>
      </c>
      <c r="G540" t="s">
        <v>107</v>
      </c>
      <c r="H540" t="s">
        <v>385</v>
      </c>
      <c r="I540" t="str">
        <f>_xlfn.IFNA(VLOOKUP(C540,merchants!$A$2:$D$41,2,FALSE),"Merchant not found")</f>
        <v>Merchant_021</v>
      </c>
      <c r="J540" t="str">
        <f>_xlfn.IFNA(VLOOKUP(C540,merchants!$A$2:$D$41,3,FALSE),"Merchant not found")</f>
        <v>food_delivery</v>
      </c>
      <c r="K540" t="str">
        <f>_xlfn.IFNA(VLOOKUP(C540,merchants!$A$2:$D$41,4,FALSE),"Merchant not found")</f>
        <v>East</v>
      </c>
      <c r="L540">
        <f t="shared" si="24"/>
        <v>46023</v>
      </c>
      <c r="M540">
        <f t="shared" si="25"/>
        <v>0</v>
      </c>
      <c r="N540" t="str">
        <f t="shared" si="26"/>
        <v>Standard</v>
      </c>
      <c r="O540">
        <f>HLOOKUP(F540,fee_lookup!$B$1:$E$2,2,FALSE)</f>
        <v>1.7999999999999999E-2</v>
      </c>
    </row>
    <row r="541" spans="1:15" x14ac:dyDescent="0.3">
      <c r="A541" t="s">
        <v>1464</v>
      </c>
      <c r="B541" t="s">
        <v>191</v>
      </c>
      <c r="C541" t="s">
        <v>76</v>
      </c>
      <c r="D541" t="s">
        <v>1465</v>
      </c>
      <c r="E541" t="s">
        <v>220</v>
      </c>
      <c r="F541" t="s">
        <v>154</v>
      </c>
      <c r="G541" t="s">
        <v>155</v>
      </c>
      <c r="H541" t="s">
        <v>409</v>
      </c>
      <c r="I541" t="str">
        <f>_xlfn.IFNA(VLOOKUP(C541,merchants!$A$2:$D$41,2,FALSE),"Merchant not found")</f>
        <v>Merchant_032</v>
      </c>
      <c r="J541" t="str">
        <f>_xlfn.IFNA(VLOOKUP(C541,merchants!$A$2:$D$41,3,FALSE),"Merchant not found")</f>
        <v>food_delivery</v>
      </c>
      <c r="K541" t="str">
        <f>_xlfn.IFNA(VLOOKUP(C541,merchants!$A$2:$D$41,4,FALSE),"Merchant not found")</f>
        <v>West</v>
      </c>
      <c r="L541">
        <f t="shared" si="24"/>
        <v>46031</v>
      </c>
      <c r="M541">
        <f t="shared" si="25"/>
        <v>0</v>
      </c>
      <c r="N541" t="str">
        <f t="shared" si="26"/>
        <v>Standard</v>
      </c>
      <c r="O541">
        <f>HLOOKUP(F541,fee_lookup!$B$1:$E$2,2,FALSE)</f>
        <v>1.7999999999999999E-2</v>
      </c>
    </row>
    <row r="542" spans="1:15" x14ac:dyDescent="0.3">
      <c r="A542" t="s">
        <v>1466</v>
      </c>
      <c r="B542" t="s">
        <v>191</v>
      </c>
      <c r="C542" t="s">
        <v>91</v>
      </c>
      <c r="D542" t="s">
        <v>1467</v>
      </c>
      <c r="E542" t="s">
        <v>1417</v>
      </c>
      <c r="F542" t="s">
        <v>154</v>
      </c>
      <c r="G542" t="s">
        <v>155</v>
      </c>
      <c r="H542" t="s">
        <v>108</v>
      </c>
      <c r="I542" t="str">
        <f>_xlfn.IFNA(VLOOKUP(C542,merchants!$A$2:$D$41,2,FALSE),"Merchant not found")</f>
        <v>Merchant_039</v>
      </c>
      <c r="J542" t="str">
        <f>_xlfn.IFNA(VLOOKUP(C542,merchants!$A$2:$D$41,3,FALSE),"Merchant not found")</f>
        <v>entertainment</v>
      </c>
      <c r="K542" t="str">
        <f>_xlfn.IFNA(VLOOKUP(C542,merchants!$A$2:$D$41,4,FALSE),"Merchant not found")</f>
        <v>North</v>
      </c>
      <c r="L542">
        <f t="shared" si="24"/>
        <v>46031</v>
      </c>
      <c r="M542">
        <f t="shared" si="25"/>
        <v>0</v>
      </c>
      <c r="N542" t="str">
        <f t="shared" si="26"/>
        <v>Standard</v>
      </c>
      <c r="O542">
        <f>HLOOKUP(F542,fee_lookup!$B$1:$E$2,2,FALSE)</f>
        <v>1.7999999999999999E-2</v>
      </c>
    </row>
    <row r="543" spans="1:15" x14ac:dyDescent="0.3">
      <c r="A543" t="s">
        <v>1468</v>
      </c>
      <c r="B543" t="s">
        <v>191</v>
      </c>
      <c r="C543" t="s">
        <v>89</v>
      </c>
      <c r="D543" t="s">
        <v>1469</v>
      </c>
      <c r="E543" t="s">
        <v>145</v>
      </c>
      <c r="F543" t="s">
        <v>154</v>
      </c>
      <c r="G543" t="s">
        <v>155</v>
      </c>
      <c r="H543" t="s">
        <v>281</v>
      </c>
      <c r="I543" t="str">
        <f>_xlfn.IFNA(VLOOKUP(C543,merchants!$A$2:$D$41,2,FALSE),"Merchant not found")</f>
        <v>Merchant_038</v>
      </c>
      <c r="J543" t="str">
        <f>_xlfn.IFNA(VLOOKUP(C543,merchants!$A$2:$D$41,3,FALSE),"Merchant not found")</f>
        <v>grocery</v>
      </c>
      <c r="K543" t="str">
        <f>_xlfn.IFNA(VLOOKUP(C543,merchants!$A$2:$D$41,4,FALSE),"Merchant not found")</f>
        <v>East</v>
      </c>
      <c r="L543">
        <f t="shared" si="24"/>
        <v>46031</v>
      </c>
      <c r="M543">
        <f t="shared" si="25"/>
        <v>0</v>
      </c>
      <c r="N543" t="str">
        <f t="shared" si="26"/>
        <v>Standard</v>
      </c>
      <c r="O543">
        <f>HLOOKUP(F543,fee_lookup!$B$1:$E$2,2,FALSE)</f>
        <v>1.7999999999999999E-2</v>
      </c>
    </row>
    <row r="544" spans="1:15" x14ac:dyDescent="0.3">
      <c r="A544" t="s">
        <v>1470</v>
      </c>
      <c r="B544" t="s">
        <v>191</v>
      </c>
      <c r="C544" t="s">
        <v>58</v>
      </c>
      <c r="D544" t="s">
        <v>1471</v>
      </c>
      <c r="E544" t="s">
        <v>1417</v>
      </c>
      <c r="F544" t="s">
        <v>154</v>
      </c>
      <c r="G544" t="s">
        <v>107</v>
      </c>
      <c r="H544" t="s">
        <v>592</v>
      </c>
      <c r="I544" t="str">
        <f>_xlfn.IFNA(VLOOKUP(C544,merchants!$A$2:$D$41,2,FALSE),"Merchant not found")</f>
        <v>Merchant_023</v>
      </c>
      <c r="J544" t="str">
        <f>_xlfn.IFNA(VLOOKUP(C544,merchants!$A$2:$D$41,3,FALSE),"Merchant not found")</f>
        <v>travel</v>
      </c>
      <c r="K544" t="str">
        <f>_xlfn.IFNA(VLOOKUP(C544,merchants!$A$2:$D$41,4,FALSE),"Merchant not found")</f>
        <v>North</v>
      </c>
      <c r="L544">
        <f t="shared" si="24"/>
        <v>46031</v>
      </c>
      <c r="M544">
        <f t="shared" si="25"/>
        <v>0</v>
      </c>
      <c r="N544" t="str">
        <f t="shared" si="26"/>
        <v>Standard</v>
      </c>
      <c r="O544">
        <f>HLOOKUP(F544,fee_lookup!$B$1:$E$2,2,FALSE)</f>
        <v>1.7999999999999999E-2</v>
      </c>
    </row>
    <row r="545" spans="1:15" x14ac:dyDescent="0.3">
      <c r="A545" t="s">
        <v>1472</v>
      </c>
      <c r="B545" t="s">
        <v>1197</v>
      </c>
      <c r="C545" t="s">
        <v>93</v>
      </c>
      <c r="D545" t="s">
        <v>1473</v>
      </c>
      <c r="E545" t="s">
        <v>220</v>
      </c>
      <c r="F545" t="s">
        <v>154</v>
      </c>
      <c r="G545" t="s">
        <v>155</v>
      </c>
      <c r="H545" t="s">
        <v>630</v>
      </c>
      <c r="I545" t="str">
        <f>_xlfn.IFNA(VLOOKUP(C545,merchants!$A$2:$D$41,2,FALSE),"Merchant not found")</f>
        <v>Merchant_040</v>
      </c>
      <c r="J545" t="str">
        <f>_xlfn.IFNA(VLOOKUP(C545,merchants!$A$2:$D$41,3,FALSE),"Merchant not found")</f>
        <v>entertainment</v>
      </c>
      <c r="K545" t="str">
        <f>_xlfn.IFNA(VLOOKUP(C545,merchants!$A$2:$D$41,4,FALSE),"Merchant not found")</f>
        <v>South</v>
      </c>
      <c r="L545">
        <f t="shared" si="24"/>
        <v>46045</v>
      </c>
      <c r="M545">
        <f t="shared" si="25"/>
        <v>0</v>
      </c>
      <c r="N545" t="str">
        <f t="shared" si="26"/>
        <v>Standard</v>
      </c>
      <c r="O545">
        <f>HLOOKUP(F545,fee_lookup!$B$1:$E$2,2,FALSE)</f>
        <v>1.7999999999999999E-2</v>
      </c>
    </row>
    <row r="546" spans="1:15" x14ac:dyDescent="0.3">
      <c r="A546" t="s">
        <v>1474</v>
      </c>
      <c r="B546" t="s">
        <v>1197</v>
      </c>
      <c r="C546" t="s">
        <v>28</v>
      </c>
      <c r="D546" t="s">
        <v>1475</v>
      </c>
      <c r="E546" t="s">
        <v>1417</v>
      </c>
      <c r="F546" t="s">
        <v>154</v>
      </c>
      <c r="G546" t="s">
        <v>155</v>
      </c>
      <c r="H546" t="s">
        <v>679</v>
      </c>
      <c r="I546" t="str">
        <f>_xlfn.IFNA(VLOOKUP(C546,merchants!$A$2:$D$41,2,FALSE),"Merchant not found")</f>
        <v>Merchant_009</v>
      </c>
      <c r="J546" t="str">
        <f>_xlfn.IFNA(VLOOKUP(C546,merchants!$A$2:$D$41,3,FALSE),"Merchant not found")</f>
        <v>ecommerce</v>
      </c>
      <c r="K546" t="str">
        <f>_xlfn.IFNA(VLOOKUP(C546,merchants!$A$2:$D$41,4,FALSE),"Merchant not found")</f>
        <v>North</v>
      </c>
      <c r="L546">
        <f t="shared" si="24"/>
        <v>46045</v>
      </c>
      <c r="M546">
        <f t="shared" si="25"/>
        <v>0</v>
      </c>
      <c r="N546" t="str">
        <f t="shared" si="26"/>
        <v>Standard</v>
      </c>
      <c r="O546">
        <f>HLOOKUP(F546,fee_lookup!$B$1:$E$2,2,FALSE)</f>
        <v>1.7999999999999999E-2</v>
      </c>
    </row>
    <row r="547" spans="1:15" x14ac:dyDescent="0.3">
      <c r="A547" t="s">
        <v>1476</v>
      </c>
      <c r="B547" t="s">
        <v>1197</v>
      </c>
      <c r="C547" t="s">
        <v>43</v>
      </c>
      <c r="D547" t="s">
        <v>1477</v>
      </c>
      <c r="E547" t="s">
        <v>1417</v>
      </c>
      <c r="F547" t="s">
        <v>154</v>
      </c>
      <c r="G547" t="s">
        <v>155</v>
      </c>
      <c r="H547" t="s">
        <v>679</v>
      </c>
      <c r="I547" t="str">
        <f>_xlfn.IFNA(VLOOKUP(C547,merchants!$A$2:$D$41,2,FALSE),"Merchant not found")</f>
        <v>Merchant_016</v>
      </c>
      <c r="J547" t="str">
        <f>_xlfn.IFNA(VLOOKUP(C547,merchants!$A$2:$D$41,3,FALSE),"Merchant not found")</f>
        <v>bill_payment</v>
      </c>
      <c r="K547" t="str">
        <f>_xlfn.IFNA(VLOOKUP(C547,merchants!$A$2:$D$41,4,FALSE),"Merchant not found")</f>
        <v>West</v>
      </c>
      <c r="L547">
        <f t="shared" si="24"/>
        <v>46045</v>
      </c>
      <c r="M547">
        <f t="shared" si="25"/>
        <v>0</v>
      </c>
      <c r="N547" t="str">
        <f t="shared" si="26"/>
        <v>Standard</v>
      </c>
      <c r="O547">
        <f>HLOOKUP(F547,fee_lookup!$B$1:$E$2,2,FALSE)</f>
        <v>1.7999999999999999E-2</v>
      </c>
    </row>
    <row r="548" spans="1:15" x14ac:dyDescent="0.3">
      <c r="A548" t="s">
        <v>1478</v>
      </c>
      <c r="B548" t="s">
        <v>1197</v>
      </c>
      <c r="C548" t="s">
        <v>34</v>
      </c>
      <c r="D548" t="s">
        <v>1479</v>
      </c>
      <c r="E548" t="s">
        <v>1417</v>
      </c>
      <c r="F548" t="s">
        <v>154</v>
      </c>
      <c r="G548" t="s">
        <v>107</v>
      </c>
      <c r="H548" t="s">
        <v>527</v>
      </c>
      <c r="I548" t="str">
        <f>_xlfn.IFNA(VLOOKUP(C548,merchants!$A$2:$D$41,2,FALSE),"Merchant not found")</f>
        <v>Merchant_012</v>
      </c>
      <c r="J548" t="str">
        <f>_xlfn.IFNA(VLOOKUP(C548,merchants!$A$2:$D$41,3,FALSE),"Merchant not found")</f>
        <v>ecommerce</v>
      </c>
      <c r="K548" t="str">
        <f>_xlfn.IFNA(VLOOKUP(C548,merchants!$A$2:$D$41,4,FALSE),"Merchant not found")</f>
        <v>East</v>
      </c>
      <c r="L548">
        <f t="shared" si="24"/>
        <v>46045</v>
      </c>
      <c r="M548">
        <f t="shared" si="25"/>
        <v>0</v>
      </c>
      <c r="N548" t="str">
        <f t="shared" si="26"/>
        <v>Standard</v>
      </c>
      <c r="O548">
        <f>HLOOKUP(F548,fee_lookup!$B$1:$E$2,2,FALSE)</f>
        <v>1.7999999999999999E-2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cols>
    <col min="1" max="5" width="18" customWidth="1"/>
  </cols>
  <sheetData>
    <row r="1" spans="1:5" x14ac:dyDescent="0.3">
      <c r="A1" t="s">
        <v>1484</v>
      </c>
      <c r="B1" t="s">
        <v>113</v>
      </c>
      <c r="C1" t="s">
        <v>106</v>
      </c>
      <c r="D1" t="s">
        <v>154</v>
      </c>
      <c r="E1" t="s">
        <v>122</v>
      </c>
    </row>
    <row r="2" spans="1:5" x14ac:dyDescent="0.3">
      <c r="A2" t="s">
        <v>1485</v>
      </c>
      <c r="B2" s="2">
        <v>2E-3</v>
      </c>
      <c r="C2" s="2">
        <v>0.01</v>
      </c>
      <c r="D2" s="2">
        <v>1.7999999999999999E-2</v>
      </c>
      <c r="E2" s="2">
        <v>1.2E-2</v>
      </c>
    </row>
    <row r="4" spans="1:5" x14ac:dyDescent="0.3">
      <c r="A4" t="s">
        <v>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44"/>
  <sheetViews>
    <sheetView workbookViewId="0"/>
  </sheetViews>
  <sheetFormatPr defaultRowHeight="14.4" x14ac:dyDescent="0.3"/>
  <cols>
    <col min="1" max="3" width="18" customWidth="1"/>
  </cols>
  <sheetData>
    <row r="1" spans="1:3" x14ac:dyDescent="0.3">
      <c r="A1" t="s">
        <v>0</v>
      </c>
      <c r="B1" t="s">
        <v>1480</v>
      </c>
      <c r="C1" t="s">
        <v>1481</v>
      </c>
    </row>
    <row r="2" spans="1:3" x14ac:dyDescent="0.3">
      <c r="A2" t="s">
        <v>43</v>
      </c>
      <c r="B2" t="s">
        <v>1487</v>
      </c>
      <c r="C2">
        <v>2999</v>
      </c>
    </row>
    <row r="3" spans="1:3" x14ac:dyDescent="0.3">
      <c r="A3" t="s">
        <v>66</v>
      </c>
      <c r="B3" t="s">
        <v>1488</v>
      </c>
      <c r="C3">
        <v>49</v>
      </c>
    </row>
    <row r="4" spans="1:3" x14ac:dyDescent="0.3">
      <c r="A4" t="s">
        <v>32</v>
      </c>
      <c r="B4" t="s">
        <v>1489</v>
      </c>
      <c r="C4">
        <v>1798</v>
      </c>
    </row>
    <row r="5" spans="1:3" x14ac:dyDescent="0.3">
      <c r="A5" t="s">
        <v>56</v>
      </c>
      <c r="B5" t="s">
        <v>1487</v>
      </c>
      <c r="C5">
        <v>49</v>
      </c>
    </row>
    <row r="6" spans="1:3" x14ac:dyDescent="0.3">
      <c r="A6" t="s">
        <v>43</v>
      </c>
      <c r="B6" t="s">
        <v>1490</v>
      </c>
      <c r="C6">
        <v>898</v>
      </c>
    </row>
    <row r="7" spans="1:3" x14ac:dyDescent="0.3">
      <c r="A7" t="s">
        <v>12</v>
      </c>
      <c r="B7" t="s">
        <v>1491</v>
      </c>
      <c r="C7">
        <v>898</v>
      </c>
    </row>
    <row r="8" spans="1:3" x14ac:dyDescent="0.3">
      <c r="A8" t="s">
        <v>58</v>
      </c>
      <c r="B8" t="s">
        <v>1492</v>
      </c>
      <c r="C8">
        <v>99</v>
      </c>
    </row>
    <row r="9" spans="1:3" x14ac:dyDescent="0.3">
      <c r="A9" t="s">
        <v>36</v>
      </c>
      <c r="B9" t="s">
        <v>1493</v>
      </c>
      <c r="C9">
        <v>99</v>
      </c>
    </row>
    <row r="10" spans="1:3" x14ac:dyDescent="0.3">
      <c r="A10" t="s">
        <v>48</v>
      </c>
      <c r="B10" t="s">
        <v>1494</v>
      </c>
      <c r="C10">
        <v>799</v>
      </c>
    </row>
    <row r="11" spans="1:3" x14ac:dyDescent="0.3">
      <c r="A11" t="s">
        <v>82</v>
      </c>
      <c r="B11" t="s">
        <v>1495</v>
      </c>
      <c r="C11">
        <v>299</v>
      </c>
    </row>
    <row r="12" spans="1:3" x14ac:dyDescent="0.3">
      <c r="A12" t="s">
        <v>34</v>
      </c>
      <c r="B12" t="s">
        <v>1496</v>
      </c>
      <c r="C12">
        <v>548</v>
      </c>
    </row>
    <row r="13" spans="1:3" x14ac:dyDescent="0.3">
      <c r="A13" t="s">
        <v>68</v>
      </c>
      <c r="B13" t="s">
        <v>1497</v>
      </c>
      <c r="C13">
        <v>2999</v>
      </c>
    </row>
    <row r="14" spans="1:3" x14ac:dyDescent="0.3">
      <c r="A14" t="s">
        <v>78</v>
      </c>
      <c r="B14" t="s">
        <v>1489</v>
      </c>
      <c r="C14">
        <v>49</v>
      </c>
    </row>
    <row r="15" spans="1:3" x14ac:dyDescent="0.3">
      <c r="A15" t="s">
        <v>12</v>
      </c>
      <c r="B15" t="s">
        <v>1498</v>
      </c>
      <c r="C15">
        <v>198</v>
      </c>
    </row>
    <row r="16" spans="1:3" x14ac:dyDescent="0.3">
      <c r="A16" t="s">
        <v>36</v>
      </c>
      <c r="B16" t="s">
        <v>1499</v>
      </c>
      <c r="C16">
        <v>1499</v>
      </c>
    </row>
    <row r="17" spans="1:3" x14ac:dyDescent="0.3">
      <c r="A17" t="s">
        <v>93</v>
      </c>
      <c r="B17" t="s">
        <v>1499</v>
      </c>
      <c r="C17">
        <v>99</v>
      </c>
    </row>
    <row r="18" spans="1:3" x14ac:dyDescent="0.3">
      <c r="A18" t="s">
        <v>78</v>
      </c>
      <c r="B18" t="s">
        <v>1500</v>
      </c>
      <c r="C18">
        <v>99</v>
      </c>
    </row>
    <row r="19" spans="1:3" x14ac:dyDescent="0.3">
      <c r="A19" t="s">
        <v>50</v>
      </c>
      <c r="B19" t="s">
        <v>1500</v>
      </c>
      <c r="C19">
        <v>2999</v>
      </c>
    </row>
    <row r="20" spans="1:3" x14ac:dyDescent="0.3">
      <c r="A20" t="s">
        <v>62</v>
      </c>
      <c r="B20" t="s">
        <v>1501</v>
      </c>
      <c r="C20">
        <v>4498</v>
      </c>
    </row>
    <row r="21" spans="1:3" x14ac:dyDescent="0.3">
      <c r="A21" t="s">
        <v>52</v>
      </c>
      <c r="B21" t="s">
        <v>1489</v>
      </c>
      <c r="C21">
        <v>49</v>
      </c>
    </row>
    <row r="22" spans="1:3" x14ac:dyDescent="0.3">
      <c r="A22" t="s">
        <v>39</v>
      </c>
      <c r="B22" t="s">
        <v>1502</v>
      </c>
      <c r="C22">
        <v>99</v>
      </c>
    </row>
    <row r="23" spans="1:3" x14ac:dyDescent="0.3">
      <c r="A23" t="s">
        <v>54</v>
      </c>
      <c r="B23" t="s">
        <v>1503</v>
      </c>
      <c r="C23">
        <v>99</v>
      </c>
    </row>
    <row r="24" spans="1:3" x14ac:dyDescent="0.3">
      <c r="A24" t="s">
        <v>78</v>
      </c>
      <c r="B24" t="s">
        <v>1504</v>
      </c>
      <c r="C24">
        <v>799</v>
      </c>
    </row>
    <row r="25" spans="1:3" x14ac:dyDescent="0.3">
      <c r="A25" t="s">
        <v>20</v>
      </c>
      <c r="B25" t="s">
        <v>1503</v>
      </c>
      <c r="C25">
        <v>897</v>
      </c>
    </row>
    <row r="26" spans="1:3" x14ac:dyDescent="0.3">
      <c r="A26" t="s">
        <v>56</v>
      </c>
      <c r="B26" t="s">
        <v>1505</v>
      </c>
      <c r="C26">
        <v>1598</v>
      </c>
    </row>
    <row r="27" spans="1:3" x14ac:dyDescent="0.3">
      <c r="A27" t="s">
        <v>41</v>
      </c>
      <c r="B27" t="s">
        <v>1493</v>
      </c>
      <c r="C27">
        <v>799</v>
      </c>
    </row>
    <row r="28" spans="1:3" x14ac:dyDescent="0.3">
      <c r="A28" t="s">
        <v>74</v>
      </c>
      <c r="B28" t="s">
        <v>1501</v>
      </c>
      <c r="C28">
        <v>49</v>
      </c>
    </row>
    <row r="29" spans="1:3" x14ac:dyDescent="0.3">
      <c r="A29" t="s">
        <v>87</v>
      </c>
      <c r="B29" t="s">
        <v>1506</v>
      </c>
      <c r="C29">
        <v>697</v>
      </c>
    </row>
    <row r="30" spans="1:3" x14ac:dyDescent="0.3">
      <c r="A30" t="s">
        <v>64</v>
      </c>
      <c r="B30" t="s">
        <v>1507</v>
      </c>
      <c r="C30">
        <v>99</v>
      </c>
    </row>
    <row r="31" spans="1:3" x14ac:dyDescent="0.3">
      <c r="A31" t="s">
        <v>23</v>
      </c>
      <c r="B31" t="s">
        <v>1501</v>
      </c>
      <c r="C31">
        <v>4498</v>
      </c>
    </row>
    <row r="32" spans="1:3" x14ac:dyDescent="0.3">
      <c r="A32" t="s">
        <v>72</v>
      </c>
      <c r="B32" t="s">
        <v>1499</v>
      </c>
      <c r="C32">
        <v>2497</v>
      </c>
    </row>
    <row r="33" spans="1:3" x14ac:dyDescent="0.3">
      <c r="A33" t="s">
        <v>72</v>
      </c>
      <c r="B33" t="s">
        <v>1502</v>
      </c>
      <c r="C33">
        <v>799</v>
      </c>
    </row>
    <row r="34" spans="1:3" x14ac:dyDescent="0.3">
      <c r="A34" t="s">
        <v>84</v>
      </c>
      <c r="B34" t="s">
        <v>1503</v>
      </c>
      <c r="C34">
        <v>198</v>
      </c>
    </row>
    <row r="35" spans="1:3" x14ac:dyDescent="0.3">
      <c r="A35" t="s">
        <v>68</v>
      </c>
      <c r="B35" t="s">
        <v>1494</v>
      </c>
      <c r="C35">
        <v>49</v>
      </c>
    </row>
    <row r="36" spans="1:3" x14ac:dyDescent="0.3">
      <c r="A36" t="s">
        <v>70</v>
      </c>
      <c r="B36" t="s">
        <v>1504</v>
      </c>
      <c r="C36">
        <v>1098</v>
      </c>
    </row>
    <row r="37" spans="1:3" x14ac:dyDescent="0.3">
      <c r="A37" t="s">
        <v>48</v>
      </c>
      <c r="B37" t="s">
        <v>1508</v>
      </c>
      <c r="C37">
        <v>1648</v>
      </c>
    </row>
    <row r="38" spans="1:3" x14ac:dyDescent="0.3">
      <c r="A38" t="s">
        <v>43</v>
      </c>
      <c r="B38" t="s">
        <v>1508</v>
      </c>
      <c r="C38">
        <v>98</v>
      </c>
    </row>
    <row r="39" spans="1:3" x14ac:dyDescent="0.3">
      <c r="A39" t="s">
        <v>43</v>
      </c>
      <c r="B39" t="s">
        <v>1504</v>
      </c>
      <c r="C39">
        <v>2999</v>
      </c>
    </row>
    <row r="40" spans="1:3" x14ac:dyDescent="0.3">
      <c r="A40" t="s">
        <v>20</v>
      </c>
      <c r="B40" t="s">
        <v>1494</v>
      </c>
      <c r="C40">
        <v>1499</v>
      </c>
    </row>
    <row r="41" spans="1:3" x14ac:dyDescent="0.3">
      <c r="A41" t="s">
        <v>39</v>
      </c>
      <c r="B41" t="s">
        <v>1501</v>
      </c>
      <c r="C41">
        <v>1499</v>
      </c>
    </row>
    <row r="42" spans="1:3" x14ac:dyDescent="0.3">
      <c r="A42" t="s">
        <v>62</v>
      </c>
      <c r="B42" t="s">
        <v>1509</v>
      </c>
      <c r="C42">
        <v>99</v>
      </c>
    </row>
    <row r="43" spans="1:3" x14ac:dyDescent="0.3">
      <c r="A43" t="s">
        <v>62</v>
      </c>
      <c r="B43" t="s">
        <v>1510</v>
      </c>
      <c r="C43">
        <v>4498</v>
      </c>
    </row>
    <row r="44" spans="1:3" x14ac:dyDescent="0.3">
      <c r="A44" t="s">
        <v>66</v>
      </c>
      <c r="B44" t="s">
        <v>1496</v>
      </c>
      <c r="C44">
        <v>149</v>
      </c>
    </row>
    <row r="45" spans="1:3" x14ac:dyDescent="0.3">
      <c r="A45" t="s">
        <v>41</v>
      </c>
      <c r="B45" t="s">
        <v>1489</v>
      </c>
      <c r="C45">
        <v>148</v>
      </c>
    </row>
    <row r="46" spans="1:3" x14ac:dyDescent="0.3">
      <c r="A46" t="s">
        <v>8</v>
      </c>
      <c r="B46" t="s">
        <v>1492</v>
      </c>
      <c r="C46">
        <v>299</v>
      </c>
    </row>
    <row r="47" spans="1:3" x14ac:dyDescent="0.3">
      <c r="A47" t="s">
        <v>32</v>
      </c>
      <c r="B47" t="s">
        <v>1494</v>
      </c>
      <c r="C47">
        <v>4999</v>
      </c>
    </row>
    <row r="48" spans="1:3" x14ac:dyDescent="0.3">
      <c r="A48" t="s">
        <v>8</v>
      </c>
      <c r="B48" t="s">
        <v>1490</v>
      </c>
      <c r="C48">
        <v>299</v>
      </c>
    </row>
    <row r="49" spans="1:3" x14ac:dyDescent="0.3">
      <c r="A49" t="s">
        <v>20</v>
      </c>
      <c r="B49" t="s">
        <v>1510</v>
      </c>
      <c r="C49">
        <v>49</v>
      </c>
    </row>
    <row r="50" spans="1:3" x14ac:dyDescent="0.3">
      <c r="A50" t="s">
        <v>34</v>
      </c>
      <c r="B50" t="s">
        <v>1499</v>
      </c>
      <c r="C50">
        <v>548</v>
      </c>
    </row>
    <row r="51" spans="1:3" x14ac:dyDescent="0.3">
      <c r="A51" t="s">
        <v>72</v>
      </c>
      <c r="B51" t="s">
        <v>1497</v>
      </c>
      <c r="C51">
        <v>99</v>
      </c>
    </row>
    <row r="52" spans="1:3" x14ac:dyDescent="0.3">
      <c r="A52" t="s">
        <v>46</v>
      </c>
      <c r="B52" t="s">
        <v>1494</v>
      </c>
      <c r="C52">
        <v>7998</v>
      </c>
    </row>
    <row r="53" spans="1:3" x14ac:dyDescent="0.3">
      <c r="A53" t="s">
        <v>15</v>
      </c>
      <c r="B53" t="s">
        <v>1511</v>
      </c>
      <c r="C53">
        <v>799</v>
      </c>
    </row>
    <row r="54" spans="1:3" x14ac:dyDescent="0.3">
      <c r="A54" t="s">
        <v>12</v>
      </c>
      <c r="B54" t="s">
        <v>1492</v>
      </c>
      <c r="C54">
        <v>149</v>
      </c>
    </row>
    <row r="55" spans="1:3" x14ac:dyDescent="0.3">
      <c r="A55" t="s">
        <v>93</v>
      </c>
      <c r="B55" t="s">
        <v>1496</v>
      </c>
      <c r="C55">
        <v>299</v>
      </c>
    </row>
    <row r="56" spans="1:3" x14ac:dyDescent="0.3">
      <c r="A56" t="s">
        <v>25</v>
      </c>
      <c r="B56" t="s">
        <v>1492</v>
      </c>
      <c r="C56">
        <v>99</v>
      </c>
    </row>
    <row r="57" spans="1:3" x14ac:dyDescent="0.3">
      <c r="A57" t="s">
        <v>60</v>
      </c>
      <c r="B57" t="s">
        <v>1512</v>
      </c>
      <c r="C57">
        <v>299</v>
      </c>
    </row>
    <row r="58" spans="1:3" x14ac:dyDescent="0.3">
      <c r="A58" t="s">
        <v>32</v>
      </c>
      <c r="B58" t="s">
        <v>1513</v>
      </c>
      <c r="C58">
        <v>299</v>
      </c>
    </row>
    <row r="59" spans="1:3" x14ac:dyDescent="0.3">
      <c r="A59" t="s">
        <v>87</v>
      </c>
      <c r="B59" t="s">
        <v>1488</v>
      </c>
      <c r="C59">
        <v>49</v>
      </c>
    </row>
    <row r="60" spans="1:3" x14ac:dyDescent="0.3">
      <c r="A60" t="s">
        <v>17</v>
      </c>
      <c r="B60" t="s">
        <v>1490</v>
      </c>
      <c r="C60">
        <v>2999</v>
      </c>
    </row>
    <row r="61" spans="1:3" x14ac:dyDescent="0.3">
      <c r="A61" t="s">
        <v>52</v>
      </c>
      <c r="B61" t="s">
        <v>1507</v>
      </c>
      <c r="C61">
        <v>49</v>
      </c>
    </row>
    <row r="62" spans="1:3" x14ac:dyDescent="0.3">
      <c r="A62" t="s">
        <v>12</v>
      </c>
      <c r="B62" t="s">
        <v>1513</v>
      </c>
      <c r="C62">
        <v>99</v>
      </c>
    </row>
    <row r="63" spans="1:3" x14ac:dyDescent="0.3">
      <c r="A63" t="s">
        <v>17</v>
      </c>
      <c r="B63" t="s">
        <v>1502</v>
      </c>
      <c r="C63">
        <v>299</v>
      </c>
    </row>
    <row r="64" spans="1:3" x14ac:dyDescent="0.3">
      <c r="A64" t="s">
        <v>76</v>
      </c>
      <c r="B64" t="s">
        <v>1495</v>
      </c>
      <c r="C64">
        <v>348</v>
      </c>
    </row>
    <row r="65" spans="1:3" x14ac:dyDescent="0.3">
      <c r="A65" t="s">
        <v>30</v>
      </c>
      <c r="B65" t="s">
        <v>1499</v>
      </c>
      <c r="C65">
        <v>499</v>
      </c>
    </row>
    <row r="66" spans="1:3" x14ac:dyDescent="0.3">
      <c r="A66" t="s">
        <v>48</v>
      </c>
      <c r="B66" t="s">
        <v>1491</v>
      </c>
      <c r="C66">
        <v>499</v>
      </c>
    </row>
    <row r="67" spans="1:3" x14ac:dyDescent="0.3">
      <c r="A67" t="s">
        <v>72</v>
      </c>
      <c r="B67" t="s">
        <v>1503</v>
      </c>
      <c r="C67">
        <v>799</v>
      </c>
    </row>
    <row r="68" spans="1:3" x14ac:dyDescent="0.3">
      <c r="A68" t="s">
        <v>54</v>
      </c>
      <c r="B68" t="s">
        <v>1493</v>
      </c>
      <c r="C68">
        <v>49</v>
      </c>
    </row>
    <row r="69" spans="1:3" x14ac:dyDescent="0.3">
      <c r="A69" t="s">
        <v>43</v>
      </c>
      <c r="B69" t="s">
        <v>1493</v>
      </c>
      <c r="C69">
        <v>348</v>
      </c>
    </row>
    <row r="70" spans="1:3" x14ac:dyDescent="0.3">
      <c r="A70" t="s">
        <v>62</v>
      </c>
      <c r="B70" t="s">
        <v>1504</v>
      </c>
      <c r="C70">
        <v>49</v>
      </c>
    </row>
    <row r="71" spans="1:3" x14ac:dyDescent="0.3">
      <c r="A71" t="s">
        <v>56</v>
      </c>
      <c r="B71" t="s">
        <v>1512</v>
      </c>
      <c r="C71">
        <v>499</v>
      </c>
    </row>
    <row r="72" spans="1:3" x14ac:dyDescent="0.3">
      <c r="A72" t="s">
        <v>84</v>
      </c>
      <c r="B72" t="s">
        <v>1487</v>
      </c>
      <c r="C72">
        <v>799</v>
      </c>
    </row>
    <row r="73" spans="1:3" x14ac:dyDescent="0.3">
      <c r="A73" t="s">
        <v>66</v>
      </c>
      <c r="B73" t="s">
        <v>1505</v>
      </c>
      <c r="C73">
        <v>1597</v>
      </c>
    </row>
    <row r="74" spans="1:3" x14ac:dyDescent="0.3">
      <c r="A74" t="s">
        <v>76</v>
      </c>
      <c r="B74" t="s">
        <v>1502</v>
      </c>
      <c r="C74">
        <v>149</v>
      </c>
    </row>
    <row r="75" spans="1:3" x14ac:dyDescent="0.3">
      <c r="A75" t="s">
        <v>41</v>
      </c>
      <c r="B75" t="s">
        <v>1503</v>
      </c>
      <c r="C75">
        <v>4999</v>
      </c>
    </row>
    <row r="76" spans="1:3" x14ac:dyDescent="0.3">
      <c r="A76" t="s">
        <v>89</v>
      </c>
      <c r="B76" t="s">
        <v>1507</v>
      </c>
      <c r="C76">
        <v>499</v>
      </c>
    </row>
    <row r="77" spans="1:3" x14ac:dyDescent="0.3">
      <c r="A77" t="s">
        <v>68</v>
      </c>
      <c r="B77" t="s">
        <v>1511</v>
      </c>
      <c r="C77">
        <v>299</v>
      </c>
    </row>
    <row r="78" spans="1:3" x14ac:dyDescent="0.3">
      <c r="A78" t="s">
        <v>48</v>
      </c>
      <c r="B78" t="s">
        <v>1502</v>
      </c>
      <c r="C78">
        <v>499</v>
      </c>
    </row>
    <row r="79" spans="1:3" x14ac:dyDescent="0.3">
      <c r="A79" t="s">
        <v>54</v>
      </c>
      <c r="B79" t="s">
        <v>1497</v>
      </c>
      <c r="C79">
        <v>499</v>
      </c>
    </row>
    <row r="80" spans="1:3" x14ac:dyDescent="0.3">
      <c r="A80" t="s">
        <v>36</v>
      </c>
      <c r="B80" t="s">
        <v>1489</v>
      </c>
      <c r="C80">
        <v>2999</v>
      </c>
    </row>
    <row r="81" spans="1:3" x14ac:dyDescent="0.3">
      <c r="A81" t="s">
        <v>80</v>
      </c>
      <c r="B81" t="s">
        <v>1489</v>
      </c>
      <c r="C81">
        <v>548</v>
      </c>
    </row>
    <row r="82" spans="1:3" x14ac:dyDescent="0.3">
      <c r="A82" t="s">
        <v>50</v>
      </c>
      <c r="B82" t="s">
        <v>1514</v>
      </c>
      <c r="C82">
        <v>2999</v>
      </c>
    </row>
    <row r="83" spans="1:3" x14ac:dyDescent="0.3">
      <c r="A83" t="s">
        <v>82</v>
      </c>
      <c r="B83" t="s">
        <v>1515</v>
      </c>
      <c r="C83">
        <v>99</v>
      </c>
    </row>
    <row r="84" spans="1:3" x14ac:dyDescent="0.3">
      <c r="A84" t="s">
        <v>50</v>
      </c>
      <c r="B84" t="s">
        <v>1497</v>
      </c>
      <c r="C84">
        <v>99</v>
      </c>
    </row>
    <row r="85" spans="1:3" x14ac:dyDescent="0.3">
      <c r="A85" t="s">
        <v>70</v>
      </c>
      <c r="B85" t="s">
        <v>1510</v>
      </c>
      <c r="C85">
        <v>49</v>
      </c>
    </row>
    <row r="86" spans="1:3" x14ac:dyDescent="0.3">
      <c r="A86" t="s">
        <v>25</v>
      </c>
      <c r="B86" t="s">
        <v>1491</v>
      </c>
      <c r="C86">
        <v>49</v>
      </c>
    </row>
    <row r="87" spans="1:3" x14ac:dyDescent="0.3">
      <c r="A87" t="s">
        <v>15</v>
      </c>
      <c r="B87" t="s">
        <v>1498</v>
      </c>
      <c r="C87">
        <v>948</v>
      </c>
    </row>
    <row r="88" spans="1:3" x14ac:dyDescent="0.3">
      <c r="A88" t="s">
        <v>43</v>
      </c>
      <c r="B88" t="s">
        <v>1501</v>
      </c>
      <c r="C88">
        <v>149</v>
      </c>
    </row>
    <row r="89" spans="1:3" x14ac:dyDescent="0.3">
      <c r="A89" t="s">
        <v>93</v>
      </c>
      <c r="B89" t="s">
        <v>1502</v>
      </c>
      <c r="C89">
        <v>799</v>
      </c>
    </row>
    <row r="90" spans="1:3" x14ac:dyDescent="0.3">
      <c r="A90" t="s">
        <v>70</v>
      </c>
      <c r="B90" t="s">
        <v>1508</v>
      </c>
      <c r="C90">
        <v>3896</v>
      </c>
    </row>
    <row r="91" spans="1:3" x14ac:dyDescent="0.3">
      <c r="A91" t="s">
        <v>39</v>
      </c>
      <c r="B91" t="s">
        <v>1509</v>
      </c>
      <c r="C91">
        <v>1499</v>
      </c>
    </row>
    <row r="92" spans="1:3" x14ac:dyDescent="0.3">
      <c r="A92" t="s">
        <v>32</v>
      </c>
      <c r="B92" t="s">
        <v>1512</v>
      </c>
      <c r="C92">
        <v>49</v>
      </c>
    </row>
    <row r="93" spans="1:3" x14ac:dyDescent="0.3">
      <c r="A93" t="s">
        <v>4</v>
      </c>
      <c r="B93" t="s">
        <v>1491</v>
      </c>
      <c r="C93">
        <v>149</v>
      </c>
    </row>
    <row r="94" spans="1:3" x14ac:dyDescent="0.3">
      <c r="A94" t="s">
        <v>50</v>
      </c>
      <c r="B94" t="s">
        <v>1504</v>
      </c>
      <c r="C94">
        <v>398</v>
      </c>
    </row>
    <row r="95" spans="1:3" x14ac:dyDescent="0.3">
      <c r="A95" t="s">
        <v>72</v>
      </c>
      <c r="B95" t="s">
        <v>1492</v>
      </c>
      <c r="C95">
        <v>1197</v>
      </c>
    </row>
    <row r="96" spans="1:3" x14ac:dyDescent="0.3">
      <c r="A96" t="s">
        <v>89</v>
      </c>
      <c r="B96" t="s">
        <v>1500</v>
      </c>
      <c r="C96">
        <v>299</v>
      </c>
    </row>
    <row r="97" spans="1:3" x14ac:dyDescent="0.3">
      <c r="A97" t="s">
        <v>82</v>
      </c>
      <c r="B97" t="s">
        <v>1503</v>
      </c>
      <c r="C97">
        <v>499</v>
      </c>
    </row>
    <row r="98" spans="1:3" x14ac:dyDescent="0.3">
      <c r="A98" t="s">
        <v>30</v>
      </c>
      <c r="B98" t="s">
        <v>1495</v>
      </c>
      <c r="C98">
        <v>398</v>
      </c>
    </row>
    <row r="99" spans="1:3" x14ac:dyDescent="0.3">
      <c r="A99" t="s">
        <v>91</v>
      </c>
      <c r="B99" t="s">
        <v>1509</v>
      </c>
      <c r="C99">
        <v>499</v>
      </c>
    </row>
    <row r="100" spans="1:3" x14ac:dyDescent="0.3">
      <c r="A100" t="s">
        <v>70</v>
      </c>
      <c r="B100" t="s">
        <v>1493</v>
      </c>
      <c r="C100">
        <v>898</v>
      </c>
    </row>
    <row r="101" spans="1:3" x14ac:dyDescent="0.3">
      <c r="A101" t="s">
        <v>48</v>
      </c>
      <c r="B101" t="s">
        <v>1504</v>
      </c>
      <c r="C101">
        <v>149</v>
      </c>
    </row>
    <row r="102" spans="1:3" x14ac:dyDescent="0.3">
      <c r="A102" t="s">
        <v>91</v>
      </c>
      <c r="B102" t="s">
        <v>1502</v>
      </c>
      <c r="C102">
        <v>2999</v>
      </c>
    </row>
    <row r="103" spans="1:3" x14ac:dyDescent="0.3">
      <c r="A103" t="s">
        <v>91</v>
      </c>
      <c r="B103" t="s">
        <v>1487</v>
      </c>
      <c r="C103">
        <v>149</v>
      </c>
    </row>
    <row r="104" spans="1:3" x14ac:dyDescent="0.3">
      <c r="A104" t="s">
        <v>87</v>
      </c>
      <c r="B104" t="s">
        <v>1496</v>
      </c>
      <c r="C104">
        <v>598</v>
      </c>
    </row>
    <row r="105" spans="1:3" x14ac:dyDescent="0.3">
      <c r="A105" t="s">
        <v>76</v>
      </c>
      <c r="B105" t="s">
        <v>1491</v>
      </c>
      <c r="C105">
        <v>149</v>
      </c>
    </row>
    <row r="106" spans="1:3" x14ac:dyDescent="0.3">
      <c r="A106" t="s">
        <v>54</v>
      </c>
      <c r="B106" t="s">
        <v>1511</v>
      </c>
      <c r="C106">
        <v>799</v>
      </c>
    </row>
    <row r="107" spans="1:3" x14ac:dyDescent="0.3">
      <c r="A107" t="s">
        <v>76</v>
      </c>
      <c r="B107" t="s">
        <v>1488</v>
      </c>
      <c r="C107">
        <v>49</v>
      </c>
    </row>
    <row r="108" spans="1:3" x14ac:dyDescent="0.3">
      <c r="A108" t="s">
        <v>12</v>
      </c>
      <c r="B108" t="s">
        <v>1500</v>
      </c>
      <c r="C108">
        <v>499</v>
      </c>
    </row>
    <row r="109" spans="1:3" x14ac:dyDescent="0.3">
      <c r="A109" t="s">
        <v>25</v>
      </c>
      <c r="B109" t="s">
        <v>1516</v>
      </c>
      <c r="C109">
        <v>299</v>
      </c>
    </row>
    <row r="110" spans="1:3" x14ac:dyDescent="0.3">
      <c r="A110" t="s">
        <v>82</v>
      </c>
      <c r="B110" t="s">
        <v>1498</v>
      </c>
      <c r="C110">
        <v>149</v>
      </c>
    </row>
    <row r="111" spans="1:3" x14ac:dyDescent="0.3">
      <c r="A111" t="s">
        <v>60</v>
      </c>
      <c r="B111" t="s">
        <v>1499</v>
      </c>
      <c r="C111">
        <v>499</v>
      </c>
    </row>
    <row r="112" spans="1:3" x14ac:dyDescent="0.3">
      <c r="A112" t="s">
        <v>15</v>
      </c>
      <c r="B112" t="s">
        <v>1508</v>
      </c>
      <c r="C112">
        <v>1998</v>
      </c>
    </row>
    <row r="113" spans="1:3" x14ac:dyDescent="0.3">
      <c r="A113" t="s">
        <v>70</v>
      </c>
      <c r="B113" t="s">
        <v>1497</v>
      </c>
      <c r="C113">
        <v>499</v>
      </c>
    </row>
    <row r="114" spans="1:3" x14ac:dyDescent="0.3">
      <c r="A114" t="s">
        <v>91</v>
      </c>
      <c r="B114" t="s">
        <v>1511</v>
      </c>
      <c r="C114">
        <v>499</v>
      </c>
    </row>
    <row r="115" spans="1:3" x14ac:dyDescent="0.3">
      <c r="A115" t="s">
        <v>4</v>
      </c>
      <c r="B115" t="s">
        <v>1507</v>
      </c>
      <c r="C115">
        <v>3148</v>
      </c>
    </row>
    <row r="116" spans="1:3" x14ac:dyDescent="0.3">
      <c r="A116" t="s">
        <v>78</v>
      </c>
      <c r="B116" t="s">
        <v>1495</v>
      </c>
      <c r="C116">
        <v>3298</v>
      </c>
    </row>
    <row r="117" spans="1:3" x14ac:dyDescent="0.3">
      <c r="A117" t="s">
        <v>74</v>
      </c>
      <c r="B117" t="s">
        <v>1497</v>
      </c>
      <c r="C117">
        <v>1499</v>
      </c>
    </row>
    <row r="118" spans="1:3" x14ac:dyDescent="0.3">
      <c r="A118" t="s">
        <v>36</v>
      </c>
      <c r="B118" t="s">
        <v>1504</v>
      </c>
      <c r="C118">
        <v>49</v>
      </c>
    </row>
    <row r="119" spans="1:3" x14ac:dyDescent="0.3">
      <c r="A119" t="s">
        <v>17</v>
      </c>
      <c r="B119" t="s">
        <v>1505</v>
      </c>
      <c r="C119">
        <v>499</v>
      </c>
    </row>
    <row r="120" spans="1:3" x14ac:dyDescent="0.3">
      <c r="A120" t="s">
        <v>89</v>
      </c>
      <c r="B120" t="s">
        <v>1514</v>
      </c>
      <c r="C120">
        <v>398</v>
      </c>
    </row>
    <row r="121" spans="1:3" x14ac:dyDescent="0.3">
      <c r="A121" t="s">
        <v>74</v>
      </c>
      <c r="B121" t="s">
        <v>1511</v>
      </c>
      <c r="C121">
        <v>499</v>
      </c>
    </row>
    <row r="122" spans="1:3" x14ac:dyDescent="0.3">
      <c r="A122" t="s">
        <v>62</v>
      </c>
      <c r="B122" t="s">
        <v>1494</v>
      </c>
      <c r="C122">
        <v>799</v>
      </c>
    </row>
    <row r="123" spans="1:3" x14ac:dyDescent="0.3">
      <c r="A123" t="s">
        <v>62</v>
      </c>
      <c r="B123" t="s">
        <v>1489</v>
      </c>
      <c r="C123">
        <v>497</v>
      </c>
    </row>
    <row r="124" spans="1:3" x14ac:dyDescent="0.3">
      <c r="A124" t="s">
        <v>12</v>
      </c>
      <c r="B124" t="s">
        <v>1503</v>
      </c>
      <c r="C124">
        <v>149</v>
      </c>
    </row>
    <row r="125" spans="1:3" x14ac:dyDescent="0.3">
      <c r="A125" t="s">
        <v>70</v>
      </c>
      <c r="B125" t="s">
        <v>1505</v>
      </c>
      <c r="C125">
        <v>49</v>
      </c>
    </row>
    <row r="126" spans="1:3" x14ac:dyDescent="0.3">
      <c r="A126" t="s">
        <v>56</v>
      </c>
      <c r="B126" t="s">
        <v>1501</v>
      </c>
      <c r="C126">
        <v>448</v>
      </c>
    </row>
    <row r="127" spans="1:3" x14ac:dyDescent="0.3">
      <c r="A127" t="s">
        <v>56</v>
      </c>
      <c r="B127" t="s">
        <v>1507</v>
      </c>
      <c r="C127">
        <v>49</v>
      </c>
    </row>
    <row r="128" spans="1:3" x14ac:dyDescent="0.3">
      <c r="A128" t="s">
        <v>76</v>
      </c>
      <c r="B128" t="s">
        <v>1506</v>
      </c>
      <c r="C128">
        <v>2999</v>
      </c>
    </row>
    <row r="129" spans="1:3" x14ac:dyDescent="0.3">
      <c r="A129" t="s">
        <v>50</v>
      </c>
      <c r="B129" t="s">
        <v>1509</v>
      </c>
      <c r="C129">
        <v>149</v>
      </c>
    </row>
    <row r="130" spans="1:3" x14ac:dyDescent="0.3">
      <c r="A130" t="s">
        <v>23</v>
      </c>
      <c r="B130" t="s">
        <v>1489</v>
      </c>
      <c r="C130">
        <v>1298</v>
      </c>
    </row>
    <row r="131" spans="1:3" x14ac:dyDescent="0.3">
      <c r="A131" t="s">
        <v>60</v>
      </c>
      <c r="B131" t="s">
        <v>1503</v>
      </c>
      <c r="C131">
        <v>348</v>
      </c>
    </row>
    <row r="132" spans="1:3" x14ac:dyDescent="0.3">
      <c r="A132" t="s">
        <v>87</v>
      </c>
      <c r="B132" t="s">
        <v>1501</v>
      </c>
      <c r="C132">
        <v>1499</v>
      </c>
    </row>
    <row r="133" spans="1:3" x14ac:dyDescent="0.3">
      <c r="A133" t="s">
        <v>43</v>
      </c>
      <c r="B133" t="s">
        <v>1506</v>
      </c>
      <c r="C133">
        <v>49</v>
      </c>
    </row>
    <row r="134" spans="1:3" x14ac:dyDescent="0.3">
      <c r="A134" t="s">
        <v>72</v>
      </c>
      <c r="B134" t="s">
        <v>1490</v>
      </c>
      <c r="C134">
        <v>49</v>
      </c>
    </row>
    <row r="135" spans="1:3" x14ac:dyDescent="0.3">
      <c r="A135" t="s">
        <v>4</v>
      </c>
      <c r="B135" t="s">
        <v>1497</v>
      </c>
      <c r="C135">
        <v>5048</v>
      </c>
    </row>
    <row r="136" spans="1:3" x14ac:dyDescent="0.3">
      <c r="A136" t="s">
        <v>32</v>
      </c>
      <c r="B136" t="s">
        <v>1487</v>
      </c>
      <c r="C136">
        <v>149</v>
      </c>
    </row>
    <row r="137" spans="1:3" x14ac:dyDescent="0.3">
      <c r="A137" t="s">
        <v>68</v>
      </c>
      <c r="B137" t="s">
        <v>1504</v>
      </c>
      <c r="C137">
        <v>2999</v>
      </c>
    </row>
    <row r="138" spans="1:3" x14ac:dyDescent="0.3">
      <c r="A138" t="s">
        <v>36</v>
      </c>
      <c r="B138" t="s">
        <v>1497</v>
      </c>
      <c r="C138">
        <v>198</v>
      </c>
    </row>
    <row r="139" spans="1:3" x14ac:dyDescent="0.3">
      <c r="A139" t="s">
        <v>62</v>
      </c>
      <c r="B139" t="s">
        <v>1506</v>
      </c>
      <c r="C139">
        <v>299</v>
      </c>
    </row>
    <row r="140" spans="1:3" x14ac:dyDescent="0.3">
      <c r="A140" t="s">
        <v>8</v>
      </c>
      <c r="B140" t="s">
        <v>1515</v>
      </c>
      <c r="C140">
        <v>348</v>
      </c>
    </row>
    <row r="141" spans="1:3" x14ac:dyDescent="0.3">
      <c r="A141" t="s">
        <v>36</v>
      </c>
      <c r="B141" t="s">
        <v>1503</v>
      </c>
      <c r="C141">
        <v>299</v>
      </c>
    </row>
    <row r="142" spans="1:3" x14ac:dyDescent="0.3">
      <c r="A142" t="s">
        <v>28</v>
      </c>
      <c r="B142" t="s">
        <v>1497</v>
      </c>
      <c r="C142">
        <v>99</v>
      </c>
    </row>
    <row r="143" spans="1:3" x14ac:dyDescent="0.3">
      <c r="A143" t="s">
        <v>52</v>
      </c>
      <c r="B143" t="s">
        <v>1488</v>
      </c>
      <c r="C143">
        <v>2999</v>
      </c>
    </row>
    <row r="144" spans="1:3" x14ac:dyDescent="0.3">
      <c r="A144" t="s">
        <v>28</v>
      </c>
      <c r="B144" t="s">
        <v>1504</v>
      </c>
      <c r="C144">
        <v>148</v>
      </c>
    </row>
    <row r="145" spans="1:3" x14ac:dyDescent="0.3">
      <c r="A145" t="s">
        <v>34</v>
      </c>
      <c r="B145" t="s">
        <v>1490</v>
      </c>
      <c r="C145">
        <v>4999</v>
      </c>
    </row>
    <row r="146" spans="1:3" x14ac:dyDescent="0.3">
      <c r="A146" t="s">
        <v>80</v>
      </c>
      <c r="B146" t="s">
        <v>1501</v>
      </c>
      <c r="C146">
        <v>2999</v>
      </c>
    </row>
    <row r="147" spans="1:3" x14ac:dyDescent="0.3">
      <c r="A147" t="s">
        <v>46</v>
      </c>
      <c r="B147" t="s">
        <v>1490</v>
      </c>
      <c r="C147">
        <v>499</v>
      </c>
    </row>
    <row r="148" spans="1:3" x14ac:dyDescent="0.3">
      <c r="A148" t="s">
        <v>25</v>
      </c>
      <c r="B148" t="s">
        <v>1503</v>
      </c>
      <c r="C148">
        <v>598</v>
      </c>
    </row>
    <row r="149" spans="1:3" x14ac:dyDescent="0.3">
      <c r="A149" t="s">
        <v>64</v>
      </c>
      <c r="B149" t="s">
        <v>1516</v>
      </c>
      <c r="C149">
        <v>99</v>
      </c>
    </row>
    <row r="150" spans="1:3" x14ac:dyDescent="0.3">
      <c r="A150" t="s">
        <v>4</v>
      </c>
      <c r="B150" t="s">
        <v>1515</v>
      </c>
      <c r="C150">
        <v>149</v>
      </c>
    </row>
    <row r="151" spans="1:3" x14ac:dyDescent="0.3">
      <c r="A151" t="s">
        <v>46</v>
      </c>
      <c r="B151" t="s">
        <v>1502</v>
      </c>
      <c r="C151">
        <v>198</v>
      </c>
    </row>
    <row r="152" spans="1:3" x14ac:dyDescent="0.3">
      <c r="A152" t="s">
        <v>41</v>
      </c>
      <c r="B152" t="s">
        <v>1498</v>
      </c>
      <c r="C152">
        <v>299</v>
      </c>
    </row>
    <row r="153" spans="1:3" x14ac:dyDescent="0.3">
      <c r="A153" t="s">
        <v>54</v>
      </c>
      <c r="B153" t="s">
        <v>1496</v>
      </c>
      <c r="C153">
        <v>5298</v>
      </c>
    </row>
    <row r="154" spans="1:3" x14ac:dyDescent="0.3">
      <c r="A154" t="s">
        <v>28</v>
      </c>
      <c r="B154" t="s">
        <v>1514</v>
      </c>
      <c r="C154">
        <v>49</v>
      </c>
    </row>
    <row r="155" spans="1:3" x14ac:dyDescent="0.3">
      <c r="A155" t="s">
        <v>23</v>
      </c>
      <c r="B155" t="s">
        <v>1509</v>
      </c>
      <c r="C155">
        <v>3797</v>
      </c>
    </row>
    <row r="156" spans="1:3" x14ac:dyDescent="0.3">
      <c r="A156" t="s">
        <v>72</v>
      </c>
      <c r="B156" t="s">
        <v>1487</v>
      </c>
      <c r="C156">
        <v>149</v>
      </c>
    </row>
    <row r="157" spans="1:3" x14ac:dyDescent="0.3">
      <c r="A157" t="s">
        <v>66</v>
      </c>
      <c r="B157" t="s">
        <v>1500</v>
      </c>
      <c r="C157">
        <v>49</v>
      </c>
    </row>
    <row r="158" spans="1:3" x14ac:dyDescent="0.3">
      <c r="A158" t="s">
        <v>60</v>
      </c>
      <c r="B158" t="s">
        <v>1513</v>
      </c>
      <c r="C158">
        <v>299</v>
      </c>
    </row>
    <row r="159" spans="1:3" x14ac:dyDescent="0.3">
      <c r="A159" t="s">
        <v>23</v>
      </c>
      <c r="B159" t="s">
        <v>1504</v>
      </c>
      <c r="C159">
        <v>1648</v>
      </c>
    </row>
    <row r="160" spans="1:3" x14ac:dyDescent="0.3">
      <c r="A160" t="s">
        <v>58</v>
      </c>
      <c r="B160" t="s">
        <v>1515</v>
      </c>
      <c r="C160">
        <v>149</v>
      </c>
    </row>
    <row r="161" spans="1:3" x14ac:dyDescent="0.3">
      <c r="A161" t="s">
        <v>72</v>
      </c>
      <c r="B161" t="s">
        <v>1498</v>
      </c>
      <c r="C161">
        <v>1499</v>
      </c>
    </row>
    <row r="162" spans="1:3" x14ac:dyDescent="0.3">
      <c r="A162" t="s">
        <v>91</v>
      </c>
      <c r="B162" t="s">
        <v>1500</v>
      </c>
      <c r="C162">
        <v>9796</v>
      </c>
    </row>
    <row r="163" spans="1:3" x14ac:dyDescent="0.3">
      <c r="A163" t="s">
        <v>87</v>
      </c>
      <c r="B163" t="s">
        <v>1509</v>
      </c>
      <c r="C163">
        <v>2999</v>
      </c>
    </row>
    <row r="164" spans="1:3" x14ac:dyDescent="0.3">
      <c r="A164" t="s">
        <v>39</v>
      </c>
      <c r="B164" t="s">
        <v>1516</v>
      </c>
      <c r="C164">
        <v>149</v>
      </c>
    </row>
    <row r="165" spans="1:3" x14ac:dyDescent="0.3">
      <c r="A165" t="s">
        <v>4</v>
      </c>
      <c r="B165" t="s">
        <v>1494</v>
      </c>
      <c r="C165">
        <v>299</v>
      </c>
    </row>
    <row r="166" spans="1:3" x14ac:dyDescent="0.3">
      <c r="A166" t="s">
        <v>46</v>
      </c>
      <c r="B166" t="s">
        <v>1506</v>
      </c>
      <c r="C166">
        <v>299</v>
      </c>
    </row>
    <row r="167" spans="1:3" x14ac:dyDescent="0.3">
      <c r="A167" t="s">
        <v>28</v>
      </c>
      <c r="B167" t="s">
        <v>1488</v>
      </c>
      <c r="C167">
        <v>499</v>
      </c>
    </row>
    <row r="168" spans="1:3" x14ac:dyDescent="0.3">
      <c r="A168" t="s">
        <v>80</v>
      </c>
      <c r="B168" t="s">
        <v>1497</v>
      </c>
      <c r="C168">
        <v>299</v>
      </c>
    </row>
    <row r="169" spans="1:3" x14ac:dyDescent="0.3">
      <c r="A169" t="s">
        <v>60</v>
      </c>
      <c r="B169" t="s">
        <v>1489</v>
      </c>
      <c r="C169">
        <v>148</v>
      </c>
    </row>
    <row r="170" spans="1:3" x14ac:dyDescent="0.3">
      <c r="A170" t="s">
        <v>41</v>
      </c>
      <c r="B170" t="s">
        <v>1510</v>
      </c>
      <c r="C170">
        <v>499</v>
      </c>
    </row>
    <row r="171" spans="1:3" x14ac:dyDescent="0.3">
      <c r="A171" t="s">
        <v>80</v>
      </c>
      <c r="B171" t="s">
        <v>1509</v>
      </c>
      <c r="C171">
        <v>548</v>
      </c>
    </row>
    <row r="172" spans="1:3" x14ac:dyDescent="0.3">
      <c r="A172" t="s">
        <v>74</v>
      </c>
      <c r="B172" t="s">
        <v>1504</v>
      </c>
      <c r="C172">
        <v>299</v>
      </c>
    </row>
    <row r="173" spans="1:3" x14ac:dyDescent="0.3">
      <c r="A173" t="s">
        <v>70</v>
      </c>
      <c r="B173" t="s">
        <v>1499</v>
      </c>
      <c r="C173">
        <v>1998</v>
      </c>
    </row>
    <row r="174" spans="1:3" x14ac:dyDescent="0.3">
      <c r="A174" t="s">
        <v>30</v>
      </c>
      <c r="B174" t="s">
        <v>1487</v>
      </c>
      <c r="C174">
        <v>799</v>
      </c>
    </row>
    <row r="175" spans="1:3" x14ac:dyDescent="0.3">
      <c r="A175" t="s">
        <v>89</v>
      </c>
      <c r="B175" t="s">
        <v>1501</v>
      </c>
      <c r="C175">
        <v>1499</v>
      </c>
    </row>
    <row r="176" spans="1:3" x14ac:dyDescent="0.3">
      <c r="A176" t="s">
        <v>80</v>
      </c>
      <c r="B176" t="s">
        <v>1507</v>
      </c>
      <c r="C176">
        <v>3148</v>
      </c>
    </row>
    <row r="177" spans="1:3" x14ac:dyDescent="0.3">
      <c r="A177" t="s">
        <v>39</v>
      </c>
      <c r="B177" t="s">
        <v>1488</v>
      </c>
      <c r="C177">
        <v>99</v>
      </c>
    </row>
    <row r="178" spans="1:3" x14ac:dyDescent="0.3">
      <c r="A178" t="s">
        <v>72</v>
      </c>
      <c r="B178" t="s">
        <v>1504</v>
      </c>
      <c r="C178">
        <v>49</v>
      </c>
    </row>
    <row r="179" spans="1:3" x14ac:dyDescent="0.3">
      <c r="A179" t="s">
        <v>68</v>
      </c>
      <c r="B179" t="s">
        <v>1499</v>
      </c>
      <c r="C179">
        <v>49</v>
      </c>
    </row>
    <row r="180" spans="1:3" x14ac:dyDescent="0.3">
      <c r="A180" t="s">
        <v>74</v>
      </c>
      <c r="B180" t="s">
        <v>1500</v>
      </c>
      <c r="C180">
        <v>99</v>
      </c>
    </row>
    <row r="181" spans="1:3" x14ac:dyDescent="0.3">
      <c r="A181" t="s">
        <v>23</v>
      </c>
      <c r="B181" t="s">
        <v>1516</v>
      </c>
      <c r="C181">
        <v>149</v>
      </c>
    </row>
    <row r="182" spans="1:3" x14ac:dyDescent="0.3">
      <c r="A182" t="s">
        <v>84</v>
      </c>
      <c r="B182" t="s">
        <v>1489</v>
      </c>
      <c r="C182">
        <v>1647</v>
      </c>
    </row>
    <row r="183" spans="1:3" x14ac:dyDescent="0.3">
      <c r="A183" t="s">
        <v>25</v>
      </c>
      <c r="B183" t="s">
        <v>1510</v>
      </c>
      <c r="C183">
        <v>99</v>
      </c>
    </row>
    <row r="184" spans="1:3" x14ac:dyDescent="0.3">
      <c r="A184" t="s">
        <v>15</v>
      </c>
      <c r="B184" t="s">
        <v>1515</v>
      </c>
      <c r="C184">
        <v>49</v>
      </c>
    </row>
    <row r="185" spans="1:3" x14ac:dyDescent="0.3">
      <c r="A185" t="s">
        <v>87</v>
      </c>
      <c r="B185" t="s">
        <v>1513</v>
      </c>
      <c r="C185">
        <v>149</v>
      </c>
    </row>
    <row r="186" spans="1:3" x14ac:dyDescent="0.3">
      <c r="A186" t="s">
        <v>41</v>
      </c>
      <c r="B186" t="s">
        <v>1512</v>
      </c>
      <c r="C186">
        <v>49</v>
      </c>
    </row>
    <row r="187" spans="1:3" x14ac:dyDescent="0.3">
      <c r="A187" t="s">
        <v>48</v>
      </c>
      <c r="B187" t="s">
        <v>1515</v>
      </c>
      <c r="C187">
        <v>49</v>
      </c>
    </row>
    <row r="188" spans="1:3" x14ac:dyDescent="0.3">
      <c r="A188" t="s">
        <v>93</v>
      </c>
      <c r="B188" t="s">
        <v>1492</v>
      </c>
      <c r="C188">
        <v>49</v>
      </c>
    </row>
    <row r="189" spans="1:3" x14ac:dyDescent="0.3">
      <c r="A189" t="s">
        <v>34</v>
      </c>
      <c r="B189" t="s">
        <v>1493</v>
      </c>
      <c r="C189">
        <v>149</v>
      </c>
    </row>
    <row r="190" spans="1:3" x14ac:dyDescent="0.3">
      <c r="A190" t="s">
        <v>58</v>
      </c>
      <c r="B190" t="s">
        <v>1507</v>
      </c>
      <c r="C190">
        <v>247</v>
      </c>
    </row>
    <row r="191" spans="1:3" x14ac:dyDescent="0.3">
      <c r="A191" t="s">
        <v>64</v>
      </c>
      <c r="B191" t="s">
        <v>1491</v>
      </c>
      <c r="C191">
        <v>49</v>
      </c>
    </row>
    <row r="192" spans="1:3" x14ac:dyDescent="0.3">
      <c r="A192" t="s">
        <v>20</v>
      </c>
      <c r="B192" t="s">
        <v>1501</v>
      </c>
      <c r="C192">
        <v>1499</v>
      </c>
    </row>
    <row r="193" spans="1:3" x14ac:dyDescent="0.3">
      <c r="A193" t="s">
        <v>72</v>
      </c>
      <c r="B193" t="s">
        <v>1505</v>
      </c>
      <c r="C193">
        <v>49</v>
      </c>
    </row>
    <row r="194" spans="1:3" x14ac:dyDescent="0.3">
      <c r="A194" t="s">
        <v>87</v>
      </c>
      <c r="B194" t="s">
        <v>1491</v>
      </c>
      <c r="C194">
        <v>99</v>
      </c>
    </row>
    <row r="195" spans="1:3" x14ac:dyDescent="0.3">
      <c r="A195" t="s">
        <v>93</v>
      </c>
      <c r="B195" t="s">
        <v>1516</v>
      </c>
      <c r="C195">
        <v>49</v>
      </c>
    </row>
    <row r="196" spans="1:3" x14ac:dyDescent="0.3">
      <c r="A196" t="s">
        <v>68</v>
      </c>
      <c r="B196" t="s">
        <v>1500</v>
      </c>
      <c r="C196">
        <v>99</v>
      </c>
    </row>
    <row r="197" spans="1:3" x14ac:dyDescent="0.3">
      <c r="A197" t="s">
        <v>39</v>
      </c>
      <c r="B197" t="s">
        <v>1513</v>
      </c>
      <c r="C197">
        <v>299</v>
      </c>
    </row>
    <row r="198" spans="1:3" x14ac:dyDescent="0.3">
      <c r="A198" t="s">
        <v>25</v>
      </c>
      <c r="B198" t="s">
        <v>1505</v>
      </c>
      <c r="C198">
        <v>348</v>
      </c>
    </row>
    <row r="199" spans="1:3" x14ac:dyDescent="0.3">
      <c r="A199" t="s">
        <v>80</v>
      </c>
      <c r="B199" t="s">
        <v>1500</v>
      </c>
      <c r="C199">
        <v>299</v>
      </c>
    </row>
    <row r="200" spans="1:3" x14ac:dyDescent="0.3">
      <c r="A200" t="s">
        <v>91</v>
      </c>
      <c r="B200" t="s">
        <v>1514</v>
      </c>
      <c r="C200">
        <v>49</v>
      </c>
    </row>
    <row r="201" spans="1:3" x14ac:dyDescent="0.3">
      <c r="A201" t="s">
        <v>28</v>
      </c>
      <c r="B201" t="s">
        <v>1496</v>
      </c>
      <c r="C201">
        <v>499</v>
      </c>
    </row>
    <row r="202" spans="1:3" x14ac:dyDescent="0.3">
      <c r="A202" t="s">
        <v>8</v>
      </c>
      <c r="B202" t="s">
        <v>1498</v>
      </c>
      <c r="C202">
        <v>49</v>
      </c>
    </row>
    <row r="203" spans="1:3" x14ac:dyDescent="0.3">
      <c r="A203" t="s">
        <v>87</v>
      </c>
      <c r="B203" t="s">
        <v>1490</v>
      </c>
      <c r="C203">
        <v>299</v>
      </c>
    </row>
    <row r="204" spans="1:3" x14ac:dyDescent="0.3">
      <c r="A204" t="s">
        <v>66</v>
      </c>
      <c r="B204" t="s">
        <v>1510</v>
      </c>
      <c r="C204">
        <v>49</v>
      </c>
    </row>
    <row r="205" spans="1:3" x14ac:dyDescent="0.3">
      <c r="A205" t="s">
        <v>32</v>
      </c>
      <c r="B205" t="s">
        <v>1488</v>
      </c>
      <c r="C205">
        <v>1499</v>
      </c>
    </row>
    <row r="206" spans="1:3" x14ac:dyDescent="0.3">
      <c r="A206" t="s">
        <v>20</v>
      </c>
      <c r="B206" t="s">
        <v>1504</v>
      </c>
      <c r="C206">
        <v>49</v>
      </c>
    </row>
    <row r="207" spans="1:3" x14ac:dyDescent="0.3">
      <c r="A207" t="s">
        <v>89</v>
      </c>
      <c r="B207" t="s">
        <v>1506</v>
      </c>
      <c r="C207">
        <v>299</v>
      </c>
    </row>
    <row r="208" spans="1:3" x14ac:dyDescent="0.3">
      <c r="A208" t="s">
        <v>25</v>
      </c>
      <c r="B208" t="s">
        <v>1494</v>
      </c>
      <c r="C208">
        <v>149</v>
      </c>
    </row>
    <row r="209" spans="1:3" x14ac:dyDescent="0.3">
      <c r="A209" t="s">
        <v>58</v>
      </c>
      <c r="B209" t="s">
        <v>1505</v>
      </c>
      <c r="C209">
        <v>49</v>
      </c>
    </row>
    <row r="210" spans="1:3" x14ac:dyDescent="0.3">
      <c r="A210" t="s">
        <v>91</v>
      </c>
      <c r="B210" t="s">
        <v>1501</v>
      </c>
      <c r="C210">
        <v>299</v>
      </c>
    </row>
    <row r="211" spans="1:3" x14ac:dyDescent="0.3">
      <c r="A211" t="s">
        <v>76</v>
      </c>
      <c r="B211" t="s">
        <v>1508</v>
      </c>
      <c r="C211">
        <v>49</v>
      </c>
    </row>
    <row r="212" spans="1:3" x14ac:dyDescent="0.3">
      <c r="A212" t="s">
        <v>93</v>
      </c>
      <c r="B212" t="s">
        <v>1490</v>
      </c>
      <c r="C212">
        <v>499</v>
      </c>
    </row>
    <row r="213" spans="1:3" x14ac:dyDescent="0.3">
      <c r="A213" t="s">
        <v>70</v>
      </c>
      <c r="B213" t="s">
        <v>1506</v>
      </c>
      <c r="C213">
        <v>149</v>
      </c>
    </row>
    <row r="214" spans="1:3" x14ac:dyDescent="0.3">
      <c r="A214" t="s">
        <v>48</v>
      </c>
      <c r="B214" t="s">
        <v>1511</v>
      </c>
      <c r="C214">
        <v>3148</v>
      </c>
    </row>
    <row r="215" spans="1:3" x14ac:dyDescent="0.3">
      <c r="A215" t="s">
        <v>52</v>
      </c>
      <c r="B215" t="s">
        <v>1509</v>
      </c>
      <c r="C215">
        <v>49</v>
      </c>
    </row>
    <row r="216" spans="1:3" x14ac:dyDescent="0.3">
      <c r="A216" t="s">
        <v>74</v>
      </c>
      <c r="B216" t="s">
        <v>1495</v>
      </c>
      <c r="C216">
        <v>49</v>
      </c>
    </row>
    <row r="217" spans="1:3" x14ac:dyDescent="0.3">
      <c r="A217" t="s">
        <v>12</v>
      </c>
      <c r="B217" t="s">
        <v>1516</v>
      </c>
      <c r="C217">
        <v>198</v>
      </c>
    </row>
    <row r="218" spans="1:3" x14ac:dyDescent="0.3">
      <c r="A218" t="s">
        <v>62</v>
      </c>
      <c r="B218" t="s">
        <v>1491</v>
      </c>
      <c r="C218">
        <v>898</v>
      </c>
    </row>
    <row r="219" spans="1:3" x14ac:dyDescent="0.3">
      <c r="A219" t="s">
        <v>23</v>
      </c>
      <c r="B219" t="s">
        <v>1495</v>
      </c>
      <c r="C219">
        <v>1499</v>
      </c>
    </row>
    <row r="220" spans="1:3" x14ac:dyDescent="0.3">
      <c r="A220" t="s">
        <v>30</v>
      </c>
      <c r="B220" t="s">
        <v>1494</v>
      </c>
      <c r="C220">
        <v>98</v>
      </c>
    </row>
    <row r="221" spans="1:3" x14ac:dyDescent="0.3">
      <c r="A221" t="s">
        <v>64</v>
      </c>
      <c r="B221" t="s">
        <v>1514</v>
      </c>
      <c r="C221">
        <v>299</v>
      </c>
    </row>
    <row r="222" spans="1:3" x14ac:dyDescent="0.3">
      <c r="A222" t="s">
        <v>84</v>
      </c>
      <c r="B222" t="s">
        <v>1513</v>
      </c>
      <c r="C222">
        <v>49</v>
      </c>
    </row>
    <row r="223" spans="1:3" x14ac:dyDescent="0.3">
      <c r="A223" t="s">
        <v>80</v>
      </c>
      <c r="B223" t="s">
        <v>1495</v>
      </c>
      <c r="C223">
        <v>799</v>
      </c>
    </row>
    <row r="224" spans="1:3" x14ac:dyDescent="0.3">
      <c r="A224" t="s">
        <v>60</v>
      </c>
      <c r="B224" t="s">
        <v>1495</v>
      </c>
      <c r="C224">
        <v>799</v>
      </c>
    </row>
    <row r="225" spans="1:3" x14ac:dyDescent="0.3">
      <c r="A225" t="s">
        <v>56</v>
      </c>
      <c r="B225" t="s">
        <v>1515</v>
      </c>
      <c r="C225">
        <v>1697</v>
      </c>
    </row>
    <row r="226" spans="1:3" x14ac:dyDescent="0.3">
      <c r="A226" t="s">
        <v>30</v>
      </c>
      <c r="B226" t="s">
        <v>1511</v>
      </c>
      <c r="C226">
        <v>49</v>
      </c>
    </row>
    <row r="227" spans="1:3" x14ac:dyDescent="0.3">
      <c r="A227" t="s">
        <v>80</v>
      </c>
      <c r="B227" t="s">
        <v>1514</v>
      </c>
      <c r="C227">
        <v>49</v>
      </c>
    </row>
    <row r="228" spans="1:3" x14ac:dyDescent="0.3">
      <c r="A228" t="s">
        <v>28</v>
      </c>
      <c r="B228" t="s">
        <v>1500</v>
      </c>
      <c r="C228">
        <v>1298</v>
      </c>
    </row>
    <row r="229" spans="1:3" x14ac:dyDescent="0.3">
      <c r="A229" t="s">
        <v>93</v>
      </c>
      <c r="B229" t="s">
        <v>1498</v>
      </c>
      <c r="C229">
        <v>299</v>
      </c>
    </row>
    <row r="230" spans="1:3" x14ac:dyDescent="0.3">
      <c r="A230" t="s">
        <v>50</v>
      </c>
      <c r="B230" t="s">
        <v>1489</v>
      </c>
      <c r="C230">
        <v>149</v>
      </c>
    </row>
    <row r="231" spans="1:3" x14ac:dyDescent="0.3">
      <c r="A231" t="s">
        <v>43</v>
      </c>
      <c r="B231" t="s">
        <v>1489</v>
      </c>
      <c r="C231">
        <v>1548</v>
      </c>
    </row>
    <row r="232" spans="1:3" x14ac:dyDescent="0.3">
      <c r="A232" t="s">
        <v>91</v>
      </c>
      <c r="B232" t="s">
        <v>1505</v>
      </c>
      <c r="C232">
        <v>2999</v>
      </c>
    </row>
    <row r="233" spans="1:3" x14ac:dyDescent="0.3">
      <c r="A233" t="s">
        <v>74</v>
      </c>
      <c r="B233" t="s">
        <v>1506</v>
      </c>
      <c r="C233">
        <v>299</v>
      </c>
    </row>
    <row r="234" spans="1:3" x14ac:dyDescent="0.3">
      <c r="A234" t="s">
        <v>25</v>
      </c>
      <c r="B234" t="s">
        <v>1502</v>
      </c>
      <c r="C234">
        <v>499</v>
      </c>
    </row>
    <row r="235" spans="1:3" x14ac:dyDescent="0.3">
      <c r="A235" t="s">
        <v>78</v>
      </c>
      <c r="B235" t="s">
        <v>1516</v>
      </c>
      <c r="C235">
        <v>149</v>
      </c>
    </row>
    <row r="236" spans="1:3" x14ac:dyDescent="0.3">
      <c r="A236" t="s">
        <v>64</v>
      </c>
      <c r="B236" t="s">
        <v>1490</v>
      </c>
      <c r="C236">
        <v>1499</v>
      </c>
    </row>
    <row r="237" spans="1:3" x14ac:dyDescent="0.3">
      <c r="A237" t="s">
        <v>60</v>
      </c>
      <c r="B237" t="s">
        <v>1515</v>
      </c>
      <c r="C237">
        <v>149</v>
      </c>
    </row>
    <row r="238" spans="1:3" x14ac:dyDescent="0.3">
      <c r="A238" t="s">
        <v>56</v>
      </c>
      <c r="B238" t="s">
        <v>1496</v>
      </c>
      <c r="C238">
        <v>799</v>
      </c>
    </row>
    <row r="239" spans="1:3" x14ac:dyDescent="0.3">
      <c r="A239" t="s">
        <v>28</v>
      </c>
      <c r="B239" t="s">
        <v>1501</v>
      </c>
      <c r="C239">
        <v>149</v>
      </c>
    </row>
    <row r="240" spans="1:3" x14ac:dyDescent="0.3">
      <c r="A240" t="s">
        <v>84</v>
      </c>
      <c r="B240" t="s">
        <v>1496</v>
      </c>
      <c r="C240">
        <v>149</v>
      </c>
    </row>
    <row r="241" spans="1:3" x14ac:dyDescent="0.3">
      <c r="A241" t="s">
        <v>50</v>
      </c>
      <c r="B241" t="s">
        <v>1513</v>
      </c>
      <c r="C241">
        <v>348</v>
      </c>
    </row>
    <row r="242" spans="1:3" x14ac:dyDescent="0.3">
      <c r="A242" t="s">
        <v>66</v>
      </c>
      <c r="B242" t="s">
        <v>1514</v>
      </c>
      <c r="C242">
        <v>149</v>
      </c>
    </row>
    <row r="243" spans="1:3" x14ac:dyDescent="0.3">
      <c r="A243" t="s">
        <v>78</v>
      </c>
      <c r="B243" t="s">
        <v>1513</v>
      </c>
      <c r="C243">
        <v>499</v>
      </c>
    </row>
    <row r="244" spans="1:3" x14ac:dyDescent="0.3">
      <c r="A244" t="s">
        <v>68</v>
      </c>
      <c r="B244" t="s">
        <v>1492</v>
      </c>
      <c r="C244">
        <v>49</v>
      </c>
    </row>
    <row r="245" spans="1:3" x14ac:dyDescent="0.3">
      <c r="A245" t="s">
        <v>66</v>
      </c>
      <c r="B245" t="s">
        <v>1513</v>
      </c>
      <c r="C245">
        <v>4999</v>
      </c>
    </row>
    <row r="246" spans="1:3" x14ac:dyDescent="0.3">
      <c r="A246" t="s">
        <v>60</v>
      </c>
      <c r="B246" t="s">
        <v>1500</v>
      </c>
      <c r="C246">
        <v>49</v>
      </c>
    </row>
    <row r="247" spans="1:3" x14ac:dyDescent="0.3">
      <c r="A247" t="s">
        <v>84</v>
      </c>
      <c r="B247" t="s">
        <v>1505</v>
      </c>
      <c r="C247">
        <v>1499</v>
      </c>
    </row>
    <row r="248" spans="1:3" x14ac:dyDescent="0.3">
      <c r="A248" t="s">
        <v>62</v>
      </c>
      <c r="B248" t="s">
        <v>1498</v>
      </c>
      <c r="C248">
        <v>49</v>
      </c>
    </row>
    <row r="249" spans="1:3" x14ac:dyDescent="0.3">
      <c r="A249" t="s">
        <v>17</v>
      </c>
      <c r="B249" t="s">
        <v>1497</v>
      </c>
      <c r="C249">
        <v>348</v>
      </c>
    </row>
    <row r="250" spans="1:3" x14ac:dyDescent="0.3">
      <c r="A250" t="s">
        <v>23</v>
      </c>
      <c r="B250" t="s">
        <v>1492</v>
      </c>
      <c r="C250">
        <v>299</v>
      </c>
    </row>
    <row r="251" spans="1:3" x14ac:dyDescent="0.3">
      <c r="A251" t="s">
        <v>28</v>
      </c>
      <c r="B251" t="s">
        <v>1510</v>
      </c>
      <c r="C251">
        <v>299</v>
      </c>
    </row>
    <row r="252" spans="1:3" x14ac:dyDescent="0.3">
      <c r="A252" t="s">
        <v>34</v>
      </c>
      <c r="B252" t="s">
        <v>1515</v>
      </c>
      <c r="C252">
        <v>1998</v>
      </c>
    </row>
    <row r="253" spans="1:3" x14ac:dyDescent="0.3">
      <c r="A253" t="s">
        <v>34</v>
      </c>
      <c r="B253" t="s">
        <v>1500</v>
      </c>
      <c r="C253">
        <v>99</v>
      </c>
    </row>
    <row r="254" spans="1:3" x14ac:dyDescent="0.3">
      <c r="A254" t="s">
        <v>12</v>
      </c>
      <c r="B254" t="s">
        <v>1512</v>
      </c>
      <c r="C254">
        <v>798</v>
      </c>
    </row>
    <row r="255" spans="1:3" x14ac:dyDescent="0.3">
      <c r="A255" t="s">
        <v>82</v>
      </c>
      <c r="B255" t="s">
        <v>1490</v>
      </c>
      <c r="C255">
        <v>99</v>
      </c>
    </row>
    <row r="256" spans="1:3" x14ac:dyDescent="0.3">
      <c r="A256" t="s">
        <v>70</v>
      </c>
      <c r="B256" t="s">
        <v>1488</v>
      </c>
      <c r="C256">
        <v>99</v>
      </c>
    </row>
    <row r="257" spans="1:3" x14ac:dyDescent="0.3">
      <c r="A257" t="s">
        <v>60</v>
      </c>
      <c r="B257" t="s">
        <v>1494</v>
      </c>
      <c r="C257">
        <v>799</v>
      </c>
    </row>
    <row r="258" spans="1:3" x14ac:dyDescent="0.3">
      <c r="A258" t="s">
        <v>20</v>
      </c>
      <c r="B258" t="s">
        <v>1497</v>
      </c>
      <c r="C258">
        <v>99</v>
      </c>
    </row>
    <row r="259" spans="1:3" x14ac:dyDescent="0.3">
      <c r="A259" t="s">
        <v>54</v>
      </c>
      <c r="B259" t="s">
        <v>1513</v>
      </c>
      <c r="C259">
        <v>49</v>
      </c>
    </row>
    <row r="260" spans="1:3" x14ac:dyDescent="0.3">
      <c r="A260" t="s">
        <v>52</v>
      </c>
      <c r="B260" t="s">
        <v>1516</v>
      </c>
      <c r="C260">
        <v>348</v>
      </c>
    </row>
    <row r="261" spans="1:3" x14ac:dyDescent="0.3">
      <c r="A261" t="s">
        <v>70</v>
      </c>
      <c r="B261" t="s">
        <v>1513</v>
      </c>
      <c r="C261">
        <v>149</v>
      </c>
    </row>
    <row r="262" spans="1:3" x14ac:dyDescent="0.3">
      <c r="A262" t="s">
        <v>93</v>
      </c>
      <c r="B262" t="s">
        <v>1504</v>
      </c>
      <c r="C262">
        <v>149</v>
      </c>
    </row>
    <row r="263" spans="1:3" x14ac:dyDescent="0.3">
      <c r="A263" t="s">
        <v>32</v>
      </c>
      <c r="B263" t="s">
        <v>1495</v>
      </c>
      <c r="C263">
        <v>149</v>
      </c>
    </row>
    <row r="264" spans="1:3" x14ac:dyDescent="0.3">
      <c r="A264" t="s">
        <v>12</v>
      </c>
      <c r="B264" t="s">
        <v>1501</v>
      </c>
      <c r="C264">
        <v>99</v>
      </c>
    </row>
    <row r="265" spans="1:3" x14ac:dyDescent="0.3">
      <c r="A265" t="s">
        <v>60</v>
      </c>
      <c r="B265" t="s">
        <v>1516</v>
      </c>
      <c r="C265">
        <v>49</v>
      </c>
    </row>
    <row r="266" spans="1:3" x14ac:dyDescent="0.3">
      <c r="A266" t="s">
        <v>30</v>
      </c>
      <c r="B266" t="s">
        <v>1498</v>
      </c>
      <c r="C266">
        <v>1499</v>
      </c>
    </row>
    <row r="267" spans="1:3" x14ac:dyDescent="0.3">
      <c r="A267" t="s">
        <v>17</v>
      </c>
      <c r="B267" t="s">
        <v>1504</v>
      </c>
      <c r="C267">
        <v>548</v>
      </c>
    </row>
    <row r="268" spans="1:3" x14ac:dyDescent="0.3">
      <c r="A268" t="s">
        <v>54</v>
      </c>
      <c r="B268" t="s">
        <v>1501</v>
      </c>
      <c r="C268">
        <v>499</v>
      </c>
    </row>
    <row r="269" spans="1:3" x14ac:dyDescent="0.3">
      <c r="A269" t="s">
        <v>34</v>
      </c>
      <c r="B269" t="s">
        <v>1497</v>
      </c>
      <c r="C269">
        <v>799</v>
      </c>
    </row>
    <row r="270" spans="1:3" x14ac:dyDescent="0.3">
      <c r="A270" t="s">
        <v>39</v>
      </c>
      <c r="B270" t="s">
        <v>1508</v>
      </c>
      <c r="C270">
        <v>1598</v>
      </c>
    </row>
    <row r="271" spans="1:3" x14ac:dyDescent="0.3">
      <c r="A271" t="s">
        <v>36</v>
      </c>
      <c r="B271" t="s">
        <v>1514</v>
      </c>
      <c r="C271">
        <v>99</v>
      </c>
    </row>
    <row r="272" spans="1:3" x14ac:dyDescent="0.3">
      <c r="A272" t="s">
        <v>70</v>
      </c>
      <c r="B272" t="s">
        <v>1501</v>
      </c>
      <c r="C272">
        <v>799</v>
      </c>
    </row>
    <row r="273" spans="1:3" x14ac:dyDescent="0.3">
      <c r="A273" t="s">
        <v>58</v>
      </c>
      <c r="B273" t="s">
        <v>1503</v>
      </c>
      <c r="C273">
        <v>49</v>
      </c>
    </row>
    <row r="274" spans="1:3" x14ac:dyDescent="0.3">
      <c r="A274" t="s">
        <v>34</v>
      </c>
      <c r="B274" t="s">
        <v>1507</v>
      </c>
      <c r="C274">
        <v>448</v>
      </c>
    </row>
    <row r="275" spans="1:3" x14ac:dyDescent="0.3">
      <c r="A275" t="s">
        <v>28</v>
      </c>
      <c r="B275" t="s">
        <v>1505</v>
      </c>
      <c r="C275">
        <v>248</v>
      </c>
    </row>
    <row r="276" spans="1:3" x14ac:dyDescent="0.3">
      <c r="A276" t="s">
        <v>28</v>
      </c>
      <c r="B276" t="s">
        <v>1515</v>
      </c>
      <c r="C276">
        <v>299</v>
      </c>
    </row>
    <row r="277" spans="1:3" x14ac:dyDescent="0.3">
      <c r="A277" t="s">
        <v>64</v>
      </c>
      <c r="B277" t="s">
        <v>1487</v>
      </c>
      <c r="C277">
        <v>148</v>
      </c>
    </row>
    <row r="278" spans="1:3" x14ac:dyDescent="0.3">
      <c r="A278" t="s">
        <v>66</v>
      </c>
      <c r="B278" t="s">
        <v>1489</v>
      </c>
      <c r="C278">
        <v>99</v>
      </c>
    </row>
    <row r="279" spans="1:3" x14ac:dyDescent="0.3">
      <c r="A279" t="s">
        <v>17</v>
      </c>
      <c r="B279" t="s">
        <v>1516</v>
      </c>
      <c r="C279">
        <v>499</v>
      </c>
    </row>
    <row r="280" spans="1:3" x14ac:dyDescent="0.3">
      <c r="A280" t="s">
        <v>28</v>
      </c>
      <c r="B280" t="s">
        <v>1502</v>
      </c>
      <c r="C280">
        <v>299</v>
      </c>
    </row>
    <row r="281" spans="1:3" x14ac:dyDescent="0.3">
      <c r="A281" t="s">
        <v>80</v>
      </c>
      <c r="B281" t="s">
        <v>1505</v>
      </c>
      <c r="C281">
        <v>299</v>
      </c>
    </row>
    <row r="282" spans="1:3" x14ac:dyDescent="0.3">
      <c r="A282" t="s">
        <v>41</v>
      </c>
      <c r="B282" t="s">
        <v>1514</v>
      </c>
      <c r="C282">
        <v>49</v>
      </c>
    </row>
    <row r="283" spans="1:3" x14ac:dyDescent="0.3">
      <c r="A283" t="s">
        <v>46</v>
      </c>
      <c r="B283" t="s">
        <v>1505</v>
      </c>
      <c r="C283">
        <v>299</v>
      </c>
    </row>
    <row r="284" spans="1:3" x14ac:dyDescent="0.3">
      <c r="A284" t="s">
        <v>52</v>
      </c>
      <c r="B284" t="s">
        <v>1495</v>
      </c>
      <c r="C284">
        <v>99</v>
      </c>
    </row>
    <row r="285" spans="1:3" x14ac:dyDescent="0.3">
      <c r="A285" t="s">
        <v>32</v>
      </c>
      <c r="B285" t="s">
        <v>1502</v>
      </c>
      <c r="C285">
        <v>499</v>
      </c>
    </row>
    <row r="286" spans="1:3" x14ac:dyDescent="0.3">
      <c r="A286" t="s">
        <v>93</v>
      </c>
      <c r="B286" t="s">
        <v>1510</v>
      </c>
      <c r="C286">
        <v>648</v>
      </c>
    </row>
    <row r="287" spans="1:3" x14ac:dyDescent="0.3">
      <c r="A287" t="s">
        <v>12</v>
      </c>
      <c r="B287" t="s">
        <v>1487</v>
      </c>
      <c r="C287">
        <v>49</v>
      </c>
    </row>
    <row r="288" spans="1:3" x14ac:dyDescent="0.3">
      <c r="A288" t="s">
        <v>46</v>
      </c>
      <c r="B288" t="s">
        <v>1516</v>
      </c>
      <c r="C288">
        <v>398</v>
      </c>
    </row>
    <row r="289" spans="1:3" x14ac:dyDescent="0.3">
      <c r="A289" t="s">
        <v>8</v>
      </c>
      <c r="B289" t="s">
        <v>1512</v>
      </c>
      <c r="C289">
        <v>499</v>
      </c>
    </row>
    <row r="290" spans="1:3" x14ac:dyDescent="0.3">
      <c r="A290" t="s">
        <v>52</v>
      </c>
      <c r="B290" t="s">
        <v>1487</v>
      </c>
      <c r="C290">
        <v>499</v>
      </c>
    </row>
    <row r="291" spans="1:3" x14ac:dyDescent="0.3">
      <c r="A291" t="s">
        <v>66</v>
      </c>
      <c r="B291" t="s">
        <v>1507</v>
      </c>
      <c r="C291">
        <v>3998</v>
      </c>
    </row>
    <row r="292" spans="1:3" x14ac:dyDescent="0.3">
      <c r="A292" t="s">
        <v>30</v>
      </c>
      <c r="B292" t="s">
        <v>1504</v>
      </c>
      <c r="C292">
        <v>2999</v>
      </c>
    </row>
    <row r="293" spans="1:3" x14ac:dyDescent="0.3">
      <c r="A293" t="s">
        <v>64</v>
      </c>
      <c r="B293" t="s">
        <v>1506</v>
      </c>
      <c r="C293">
        <v>1499</v>
      </c>
    </row>
    <row r="294" spans="1:3" x14ac:dyDescent="0.3">
      <c r="A294" t="s">
        <v>23</v>
      </c>
      <c r="B294" t="s">
        <v>1508</v>
      </c>
      <c r="C294">
        <v>99</v>
      </c>
    </row>
    <row r="295" spans="1:3" x14ac:dyDescent="0.3">
      <c r="A295" t="s">
        <v>70</v>
      </c>
      <c r="B295" t="s">
        <v>1492</v>
      </c>
      <c r="C295">
        <v>2999</v>
      </c>
    </row>
    <row r="296" spans="1:3" x14ac:dyDescent="0.3">
      <c r="A296" t="s">
        <v>54</v>
      </c>
      <c r="B296" t="s">
        <v>1499</v>
      </c>
      <c r="C296">
        <v>49</v>
      </c>
    </row>
    <row r="297" spans="1:3" x14ac:dyDescent="0.3">
      <c r="A297" t="s">
        <v>76</v>
      </c>
      <c r="B297" t="s">
        <v>1489</v>
      </c>
      <c r="C297">
        <v>49</v>
      </c>
    </row>
    <row r="298" spans="1:3" x14ac:dyDescent="0.3">
      <c r="A298" t="s">
        <v>76</v>
      </c>
      <c r="B298" t="s">
        <v>1504</v>
      </c>
      <c r="C298">
        <v>148</v>
      </c>
    </row>
    <row r="299" spans="1:3" x14ac:dyDescent="0.3">
      <c r="A299" t="s">
        <v>43</v>
      </c>
      <c r="B299" t="s">
        <v>1516</v>
      </c>
      <c r="C299">
        <v>99</v>
      </c>
    </row>
    <row r="300" spans="1:3" x14ac:dyDescent="0.3">
      <c r="A300" t="s">
        <v>50</v>
      </c>
      <c r="B300" t="s">
        <v>1510</v>
      </c>
      <c r="C300">
        <v>99</v>
      </c>
    </row>
    <row r="301" spans="1:3" x14ac:dyDescent="0.3">
      <c r="A301" t="s">
        <v>46</v>
      </c>
      <c r="B301" t="s">
        <v>1496</v>
      </c>
      <c r="C301">
        <v>1499</v>
      </c>
    </row>
    <row r="302" spans="1:3" x14ac:dyDescent="0.3">
      <c r="A302" t="s">
        <v>64</v>
      </c>
      <c r="B302" t="s">
        <v>1515</v>
      </c>
      <c r="C302">
        <v>299</v>
      </c>
    </row>
    <row r="303" spans="1:3" x14ac:dyDescent="0.3">
      <c r="A303" t="s">
        <v>84</v>
      </c>
      <c r="B303" t="s">
        <v>1510</v>
      </c>
      <c r="C303">
        <v>4999</v>
      </c>
    </row>
    <row r="304" spans="1:3" x14ac:dyDescent="0.3">
      <c r="A304" t="s">
        <v>84</v>
      </c>
      <c r="B304" t="s">
        <v>1516</v>
      </c>
      <c r="C304">
        <v>248</v>
      </c>
    </row>
    <row r="305" spans="1:3" x14ac:dyDescent="0.3">
      <c r="A305" t="s">
        <v>25</v>
      </c>
      <c r="B305" t="s">
        <v>1493</v>
      </c>
      <c r="C305">
        <v>1499</v>
      </c>
    </row>
    <row r="306" spans="1:3" x14ac:dyDescent="0.3">
      <c r="A306" t="s">
        <v>84</v>
      </c>
      <c r="B306" t="s">
        <v>1488</v>
      </c>
      <c r="C306">
        <v>149</v>
      </c>
    </row>
    <row r="307" spans="1:3" x14ac:dyDescent="0.3">
      <c r="A307" t="s">
        <v>78</v>
      </c>
      <c r="B307" t="s">
        <v>1508</v>
      </c>
      <c r="C307">
        <v>99</v>
      </c>
    </row>
    <row r="308" spans="1:3" x14ac:dyDescent="0.3">
      <c r="A308" t="s">
        <v>93</v>
      </c>
      <c r="B308" t="s">
        <v>1487</v>
      </c>
      <c r="C308">
        <v>149</v>
      </c>
    </row>
    <row r="309" spans="1:3" x14ac:dyDescent="0.3">
      <c r="A309" t="s">
        <v>89</v>
      </c>
      <c r="B309" t="s">
        <v>1491</v>
      </c>
      <c r="C309">
        <v>99</v>
      </c>
    </row>
    <row r="310" spans="1:3" x14ac:dyDescent="0.3">
      <c r="A310" t="s">
        <v>87</v>
      </c>
      <c r="B310" t="s">
        <v>1505</v>
      </c>
      <c r="C310">
        <v>49</v>
      </c>
    </row>
    <row r="311" spans="1:3" x14ac:dyDescent="0.3">
      <c r="A311" t="s">
        <v>25</v>
      </c>
      <c r="B311" t="s">
        <v>1511</v>
      </c>
      <c r="C311">
        <v>2999</v>
      </c>
    </row>
    <row r="312" spans="1:3" x14ac:dyDescent="0.3">
      <c r="A312" t="s">
        <v>8</v>
      </c>
      <c r="B312" t="s">
        <v>1510</v>
      </c>
      <c r="C312">
        <v>49</v>
      </c>
    </row>
    <row r="313" spans="1:3" x14ac:dyDescent="0.3">
      <c r="A313" t="s">
        <v>87</v>
      </c>
      <c r="B313" t="s">
        <v>1511</v>
      </c>
      <c r="C313">
        <v>2999</v>
      </c>
    </row>
    <row r="314" spans="1:3" x14ac:dyDescent="0.3">
      <c r="A314" t="s">
        <v>36</v>
      </c>
      <c r="B314" t="s">
        <v>1492</v>
      </c>
      <c r="C314">
        <v>149</v>
      </c>
    </row>
    <row r="315" spans="1:3" x14ac:dyDescent="0.3">
      <c r="A315" t="s">
        <v>66</v>
      </c>
      <c r="B315" t="s">
        <v>1504</v>
      </c>
      <c r="C315">
        <v>1499</v>
      </c>
    </row>
    <row r="316" spans="1:3" x14ac:dyDescent="0.3">
      <c r="A316" t="s">
        <v>74</v>
      </c>
      <c r="B316" t="s">
        <v>1512</v>
      </c>
      <c r="C316">
        <v>49</v>
      </c>
    </row>
    <row r="317" spans="1:3" x14ac:dyDescent="0.3">
      <c r="A317" t="s">
        <v>80</v>
      </c>
      <c r="B317" t="s">
        <v>1502</v>
      </c>
      <c r="C317">
        <v>148</v>
      </c>
    </row>
    <row r="318" spans="1:3" x14ac:dyDescent="0.3">
      <c r="A318" t="s">
        <v>56</v>
      </c>
      <c r="B318" t="s">
        <v>1494</v>
      </c>
      <c r="C318">
        <v>299</v>
      </c>
    </row>
    <row r="319" spans="1:3" x14ac:dyDescent="0.3">
      <c r="A319" t="s">
        <v>46</v>
      </c>
      <c r="B319" t="s">
        <v>1515</v>
      </c>
      <c r="C319">
        <v>1499</v>
      </c>
    </row>
    <row r="320" spans="1:3" x14ac:dyDescent="0.3">
      <c r="A320" t="s">
        <v>84</v>
      </c>
      <c r="B320" t="s">
        <v>1511</v>
      </c>
      <c r="C320">
        <v>1499</v>
      </c>
    </row>
    <row r="321" spans="1:3" x14ac:dyDescent="0.3">
      <c r="A321" t="s">
        <v>39</v>
      </c>
      <c r="B321" t="s">
        <v>1492</v>
      </c>
      <c r="C321">
        <v>799</v>
      </c>
    </row>
    <row r="322" spans="1:3" x14ac:dyDescent="0.3">
      <c r="A322" t="s">
        <v>25</v>
      </c>
      <c r="B322" t="s">
        <v>1490</v>
      </c>
      <c r="C322">
        <v>99</v>
      </c>
    </row>
    <row r="323" spans="1:3" x14ac:dyDescent="0.3">
      <c r="A323" t="s">
        <v>58</v>
      </c>
      <c r="B323" t="s">
        <v>1500</v>
      </c>
      <c r="C323">
        <v>49</v>
      </c>
    </row>
    <row r="324" spans="1:3" x14ac:dyDescent="0.3">
      <c r="A324" t="s">
        <v>50</v>
      </c>
      <c r="B324" t="s">
        <v>1503</v>
      </c>
      <c r="C324">
        <v>49</v>
      </c>
    </row>
    <row r="325" spans="1:3" x14ac:dyDescent="0.3">
      <c r="A325" t="s">
        <v>93</v>
      </c>
      <c r="B325" t="s">
        <v>1507</v>
      </c>
      <c r="C325">
        <v>598</v>
      </c>
    </row>
    <row r="326" spans="1:3" x14ac:dyDescent="0.3">
      <c r="A326" t="s">
        <v>80</v>
      </c>
      <c r="B326" t="s">
        <v>1510</v>
      </c>
      <c r="C326">
        <v>499</v>
      </c>
    </row>
    <row r="327" spans="1:3" x14ac:dyDescent="0.3">
      <c r="A327" t="s">
        <v>66</v>
      </c>
      <c r="B327" t="s">
        <v>1495</v>
      </c>
      <c r="C327">
        <v>499</v>
      </c>
    </row>
    <row r="328" spans="1:3" x14ac:dyDescent="0.3">
      <c r="A328" t="s">
        <v>28</v>
      </c>
      <c r="B328" t="s">
        <v>1507</v>
      </c>
      <c r="C328">
        <v>898</v>
      </c>
    </row>
    <row r="329" spans="1:3" x14ac:dyDescent="0.3">
      <c r="A329" t="s">
        <v>74</v>
      </c>
      <c r="B329" t="s">
        <v>1502</v>
      </c>
      <c r="C329">
        <v>49</v>
      </c>
    </row>
    <row r="330" spans="1:3" x14ac:dyDescent="0.3">
      <c r="A330" t="s">
        <v>54</v>
      </c>
      <c r="B330" t="s">
        <v>1495</v>
      </c>
      <c r="C330">
        <v>49</v>
      </c>
    </row>
    <row r="331" spans="1:3" x14ac:dyDescent="0.3">
      <c r="A331" t="s">
        <v>87</v>
      </c>
      <c r="B331" t="s">
        <v>1495</v>
      </c>
      <c r="C331">
        <v>99</v>
      </c>
    </row>
    <row r="332" spans="1:3" x14ac:dyDescent="0.3">
      <c r="A332" t="s">
        <v>34</v>
      </c>
      <c r="B332" t="s">
        <v>1502</v>
      </c>
      <c r="C332">
        <v>799</v>
      </c>
    </row>
    <row r="333" spans="1:3" x14ac:dyDescent="0.3">
      <c r="A333" t="s">
        <v>12</v>
      </c>
      <c r="B333" t="s">
        <v>1511</v>
      </c>
      <c r="C333">
        <v>4999</v>
      </c>
    </row>
    <row r="334" spans="1:3" x14ac:dyDescent="0.3">
      <c r="A334" t="s">
        <v>56</v>
      </c>
      <c r="B334" t="s">
        <v>1514</v>
      </c>
      <c r="C334">
        <v>499</v>
      </c>
    </row>
    <row r="335" spans="1:3" x14ac:dyDescent="0.3">
      <c r="A335" t="s">
        <v>36</v>
      </c>
      <c r="B335" t="s">
        <v>1506</v>
      </c>
      <c r="C335">
        <v>2999</v>
      </c>
    </row>
    <row r="336" spans="1:3" x14ac:dyDescent="0.3">
      <c r="A336" t="s">
        <v>50</v>
      </c>
      <c r="B336" t="s">
        <v>1491</v>
      </c>
      <c r="C336">
        <v>499</v>
      </c>
    </row>
    <row r="337" spans="1:3" x14ac:dyDescent="0.3">
      <c r="A337" t="s">
        <v>64</v>
      </c>
      <c r="B337" t="s">
        <v>1500</v>
      </c>
      <c r="C337">
        <v>499</v>
      </c>
    </row>
    <row r="338" spans="1:3" x14ac:dyDescent="0.3">
      <c r="A338" t="s">
        <v>23</v>
      </c>
      <c r="B338" t="s">
        <v>1505</v>
      </c>
      <c r="C338">
        <v>149</v>
      </c>
    </row>
    <row r="339" spans="1:3" x14ac:dyDescent="0.3">
      <c r="A339" t="s">
        <v>4</v>
      </c>
      <c r="B339" t="s">
        <v>1501</v>
      </c>
      <c r="C339">
        <v>1499</v>
      </c>
    </row>
    <row r="340" spans="1:3" x14ac:dyDescent="0.3">
      <c r="A340" t="s">
        <v>56</v>
      </c>
      <c r="B340" t="s">
        <v>1498</v>
      </c>
      <c r="C340">
        <v>5798</v>
      </c>
    </row>
    <row r="341" spans="1:3" x14ac:dyDescent="0.3">
      <c r="A341" t="s">
        <v>46</v>
      </c>
      <c r="B341" t="s">
        <v>1510</v>
      </c>
      <c r="C341">
        <v>49</v>
      </c>
    </row>
    <row r="342" spans="1:3" x14ac:dyDescent="0.3">
      <c r="A342" t="s">
        <v>25</v>
      </c>
      <c r="B342" t="s">
        <v>1515</v>
      </c>
      <c r="C342">
        <v>398</v>
      </c>
    </row>
    <row r="343" spans="1:3" x14ac:dyDescent="0.3">
      <c r="A343" t="s">
        <v>52</v>
      </c>
      <c r="B343" t="s">
        <v>1514</v>
      </c>
      <c r="C343">
        <v>149</v>
      </c>
    </row>
    <row r="344" spans="1:3" x14ac:dyDescent="0.3">
      <c r="A344" t="s">
        <v>60</v>
      </c>
      <c r="B344" t="s">
        <v>1488</v>
      </c>
      <c r="C344">
        <v>149</v>
      </c>
    </row>
    <row r="345" spans="1:3" x14ac:dyDescent="0.3">
      <c r="A345" t="s">
        <v>30</v>
      </c>
      <c r="B345" t="s">
        <v>1492</v>
      </c>
      <c r="C345">
        <v>799</v>
      </c>
    </row>
    <row r="346" spans="1:3" x14ac:dyDescent="0.3">
      <c r="A346" t="s">
        <v>20</v>
      </c>
      <c r="B346" t="s">
        <v>1492</v>
      </c>
      <c r="C346">
        <v>149</v>
      </c>
    </row>
    <row r="347" spans="1:3" x14ac:dyDescent="0.3">
      <c r="A347" t="s">
        <v>78</v>
      </c>
      <c r="B347" t="s">
        <v>1488</v>
      </c>
      <c r="C347">
        <v>4999</v>
      </c>
    </row>
    <row r="348" spans="1:3" x14ac:dyDescent="0.3">
      <c r="A348" t="s">
        <v>54</v>
      </c>
      <c r="B348" t="s">
        <v>1510</v>
      </c>
      <c r="C348">
        <v>99</v>
      </c>
    </row>
    <row r="349" spans="1:3" x14ac:dyDescent="0.3">
      <c r="A349" t="s">
        <v>89</v>
      </c>
      <c r="B349" t="s">
        <v>1504</v>
      </c>
      <c r="C349">
        <v>499</v>
      </c>
    </row>
    <row r="350" spans="1:3" x14ac:dyDescent="0.3">
      <c r="A350" t="s">
        <v>72</v>
      </c>
      <c r="B350" t="s">
        <v>1516</v>
      </c>
      <c r="C350">
        <v>149</v>
      </c>
    </row>
    <row r="351" spans="1:3" x14ac:dyDescent="0.3">
      <c r="A351" t="s">
        <v>15</v>
      </c>
      <c r="B351" t="s">
        <v>1505</v>
      </c>
      <c r="C351">
        <v>1499</v>
      </c>
    </row>
    <row r="352" spans="1:3" x14ac:dyDescent="0.3">
      <c r="A352" t="s">
        <v>8</v>
      </c>
      <c r="B352" t="s">
        <v>1504</v>
      </c>
      <c r="C352">
        <v>1499</v>
      </c>
    </row>
    <row r="353" spans="1:3" x14ac:dyDescent="0.3">
      <c r="A353" t="s">
        <v>89</v>
      </c>
      <c r="B353" t="s">
        <v>1497</v>
      </c>
      <c r="C353">
        <v>348</v>
      </c>
    </row>
    <row r="354" spans="1:3" x14ac:dyDescent="0.3">
      <c r="A354" t="s">
        <v>82</v>
      </c>
      <c r="B354" t="s">
        <v>1509</v>
      </c>
      <c r="C354">
        <v>1847</v>
      </c>
    </row>
    <row r="355" spans="1:3" x14ac:dyDescent="0.3">
      <c r="A355" t="s">
        <v>12</v>
      </c>
      <c r="B355" t="s">
        <v>1490</v>
      </c>
      <c r="C355">
        <v>49</v>
      </c>
    </row>
    <row r="356" spans="1:3" x14ac:dyDescent="0.3">
      <c r="A356" t="s">
        <v>66</v>
      </c>
      <c r="B356" t="s">
        <v>1499</v>
      </c>
      <c r="C356">
        <v>149</v>
      </c>
    </row>
    <row r="357" spans="1:3" x14ac:dyDescent="0.3">
      <c r="A357" t="s">
        <v>62</v>
      </c>
      <c r="B357" t="s">
        <v>1487</v>
      </c>
      <c r="C357">
        <v>3048</v>
      </c>
    </row>
    <row r="358" spans="1:3" x14ac:dyDescent="0.3">
      <c r="A358" t="s">
        <v>82</v>
      </c>
      <c r="B358" t="s">
        <v>1506</v>
      </c>
      <c r="C358">
        <v>49</v>
      </c>
    </row>
    <row r="359" spans="1:3" x14ac:dyDescent="0.3">
      <c r="A359" t="s">
        <v>4</v>
      </c>
      <c r="B359" t="s">
        <v>1505</v>
      </c>
      <c r="C359">
        <v>149</v>
      </c>
    </row>
    <row r="360" spans="1:3" x14ac:dyDescent="0.3">
      <c r="A360" t="s">
        <v>82</v>
      </c>
      <c r="B360" t="s">
        <v>1496</v>
      </c>
      <c r="C360">
        <v>798</v>
      </c>
    </row>
    <row r="361" spans="1:3" x14ac:dyDescent="0.3">
      <c r="A361" t="s">
        <v>43</v>
      </c>
      <c r="B361" t="s">
        <v>1502</v>
      </c>
      <c r="C361">
        <v>49</v>
      </c>
    </row>
    <row r="362" spans="1:3" x14ac:dyDescent="0.3">
      <c r="A362" t="s">
        <v>8</v>
      </c>
      <c r="B362" t="s">
        <v>1503</v>
      </c>
      <c r="C362">
        <v>299</v>
      </c>
    </row>
    <row r="363" spans="1:3" x14ac:dyDescent="0.3">
      <c r="A363" t="s">
        <v>43</v>
      </c>
      <c r="B363" t="s">
        <v>1513</v>
      </c>
      <c r="C363">
        <v>448</v>
      </c>
    </row>
    <row r="364" spans="1:3" x14ac:dyDescent="0.3">
      <c r="A364" t="s">
        <v>50</v>
      </c>
      <c r="B364" t="s">
        <v>1508</v>
      </c>
      <c r="C364">
        <v>49</v>
      </c>
    </row>
    <row r="365" spans="1:3" x14ac:dyDescent="0.3">
      <c r="A365" t="s">
        <v>87</v>
      </c>
      <c r="B365" t="s">
        <v>1493</v>
      </c>
      <c r="C365">
        <v>799</v>
      </c>
    </row>
    <row r="366" spans="1:3" x14ac:dyDescent="0.3">
      <c r="A366" t="s">
        <v>41</v>
      </c>
      <c r="B366" t="s">
        <v>1487</v>
      </c>
      <c r="C366">
        <v>98</v>
      </c>
    </row>
    <row r="367" spans="1:3" x14ac:dyDescent="0.3">
      <c r="A367" t="s">
        <v>68</v>
      </c>
      <c r="B367" t="s">
        <v>1490</v>
      </c>
      <c r="C367">
        <v>499</v>
      </c>
    </row>
    <row r="368" spans="1:3" x14ac:dyDescent="0.3">
      <c r="A368" t="s">
        <v>62</v>
      </c>
      <c r="B368" t="s">
        <v>1511</v>
      </c>
      <c r="C368">
        <v>799</v>
      </c>
    </row>
    <row r="369" spans="1:3" x14ac:dyDescent="0.3">
      <c r="A369" t="s">
        <v>74</v>
      </c>
      <c r="B369" t="s">
        <v>1514</v>
      </c>
      <c r="C369">
        <v>499</v>
      </c>
    </row>
    <row r="370" spans="1:3" x14ac:dyDescent="0.3">
      <c r="A370" t="s">
        <v>72</v>
      </c>
      <c r="B370" t="s">
        <v>1506</v>
      </c>
      <c r="C370">
        <v>49</v>
      </c>
    </row>
    <row r="371" spans="1:3" x14ac:dyDescent="0.3">
      <c r="A371" t="s">
        <v>20</v>
      </c>
      <c r="B371" t="s">
        <v>1516</v>
      </c>
      <c r="C371">
        <v>799</v>
      </c>
    </row>
    <row r="372" spans="1:3" x14ac:dyDescent="0.3">
      <c r="A372" t="s">
        <v>36</v>
      </c>
      <c r="B372" t="s">
        <v>1513</v>
      </c>
      <c r="C372">
        <v>4999</v>
      </c>
    </row>
    <row r="373" spans="1:3" x14ac:dyDescent="0.3">
      <c r="A373" t="s">
        <v>39</v>
      </c>
      <c r="B373" t="s">
        <v>1510</v>
      </c>
      <c r="C373">
        <v>99</v>
      </c>
    </row>
    <row r="374" spans="1:3" x14ac:dyDescent="0.3">
      <c r="A374" t="s">
        <v>39</v>
      </c>
      <c r="B374" t="s">
        <v>1512</v>
      </c>
      <c r="C374">
        <v>49</v>
      </c>
    </row>
    <row r="375" spans="1:3" x14ac:dyDescent="0.3">
      <c r="A375" t="s">
        <v>82</v>
      </c>
      <c r="B375" t="s">
        <v>1494</v>
      </c>
      <c r="C375">
        <v>4999</v>
      </c>
    </row>
    <row r="376" spans="1:3" x14ac:dyDescent="0.3">
      <c r="A376" t="s">
        <v>78</v>
      </c>
      <c r="B376" t="s">
        <v>1515</v>
      </c>
      <c r="C376">
        <v>299</v>
      </c>
    </row>
    <row r="377" spans="1:3" x14ac:dyDescent="0.3">
      <c r="A377" t="s">
        <v>54</v>
      </c>
      <c r="B377" t="s">
        <v>1504</v>
      </c>
      <c r="C377">
        <v>299</v>
      </c>
    </row>
    <row r="378" spans="1:3" x14ac:dyDescent="0.3">
      <c r="A378" t="s">
        <v>87</v>
      </c>
      <c r="B378" t="s">
        <v>1515</v>
      </c>
      <c r="C378">
        <v>149</v>
      </c>
    </row>
    <row r="379" spans="1:3" x14ac:dyDescent="0.3">
      <c r="A379" t="s">
        <v>30</v>
      </c>
      <c r="B379" t="s">
        <v>1510</v>
      </c>
      <c r="C379">
        <v>499</v>
      </c>
    </row>
    <row r="380" spans="1:3" x14ac:dyDescent="0.3">
      <c r="A380" t="s">
        <v>43</v>
      </c>
      <c r="B380" t="s">
        <v>1494</v>
      </c>
      <c r="C380">
        <v>499</v>
      </c>
    </row>
    <row r="381" spans="1:3" x14ac:dyDescent="0.3">
      <c r="A381" t="s">
        <v>76</v>
      </c>
      <c r="B381" t="s">
        <v>1493</v>
      </c>
      <c r="C381">
        <v>1499</v>
      </c>
    </row>
    <row r="382" spans="1:3" x14ac:dyDescent="0.3">
      <c r="A382" t="s">
        <v>32</v>
      </c>
      <c r="B382" t="s">
        <v>1491</v>
      </c>
      <c r="C382">
        <v>1499</v>
      </c>
    </row>
    <row r="383" spans="1:3" x14ac:dyDescent="0.3">
      <c r="A383" t="s">
        <v>82</v>
      </c>
      <c r="B383" t="s">
        <v>1489</v>
      </c>
      <c r="C383">
        <v>149</v>
      </c>
    </row>
    <row r="384" spans="1:3" x14ac:dyDescent="0.3">
      <c r="A384" t="s">
        <v>15</v>
      </c>
      <c r="B384" t="s">
        <v>1509</v>
      </c>
      <c r="C384">
        <v>149</v>
      </c>
    </row>
    <row r="385" spans="1:3" x14ac:dyDescent="0.3">
      <c r="A385" t="s">
        <v>41</v>
      </c>
      <c r="B385" t="s">
        <v>1496</v>
      </c>
      <c r="C385">
        <v>499</v>
      </c>
    </row>
    <row r="386" spans="1:3" x14ac:dyDescent="0.3">
      <c r="A386" t="s">
        <v>78</v>
      </c>
      <c r="B386" t="s">
        <v>1507</v>
      </c>
      <c r="C386">
        <v>49</v>
      </c>
    </row>
    <row r="387" spans="1:3" x14ac:dyDescent="0.3">
      <c r="A387" t="s">
        <v>93</v>
      </c>
      <c r="B387" t="s">
        <v>1515</v>
      </c>
      <c r="C387">
        <v>99</v>
      </c>
    </row>
    <row r="388" spans="1:3" x14ac:dyDescent="0.3">
      <c r="A388" t="s">
        <v>82</v>
      </c>
      <c r="B388" t="s">
        <v>1500</v>
      </c>
      <c r="C388">
        <v>299</v>
      </c>
    </row>
    <row r="389" spans="1:3" x14ac:dyDescent="0.3">
      <c r="A389" t="s">
        <v>48</v>
      </c>
      <c r="B389" t="s">
        <v>1499</v>
      </c>
      <c r="C389">
        <v>149</v>
      </c>
    </row>
    <row r="390" spans="1:3" x14ac:dyDescent="0.3">
      <c r="A390" t="s">
        <v>68</v>
      </c>
      <c r="B390" t="s">
        <v>1514</v>
      </c>
      <c r="C390">
        <v>499</v>
      </c>
    </row>
    <row r="391" spans="1:3" x14ac:dyDescent="0.3">
      <c r="A391" t="s">
        <v>43</v>
      </c>
      <c r="B391" t="s">
        <v>1488</v>
      </c>
      <c r="C391">
        <v>49</v>
      </c>
    </row>
    <row r="392" spans="1:3" x14ac:dyDescent="0.3">
      <c r="A392" t="s">
        <v>48</v>
      </c>
      <c r="B392" t="s">
        <v>1513</v>
      </c>
      <c r="C392">
        <v>149</v>
      </c>
    </row>
    <row r="393" spans="1:3" x14ac:dyDescent="0.3">
      <c r="A393" t="s">
        <v>87</v>
      </c>
      <c r="B393" t="s">
        <v>1516</v>
      </c>
      <c r="C393">
        <v>299</v>
      </c>
    </row>
    <row r="394" spans="1:3" x14ac:dyDescent="0.3">
      <c r="A394" t="s">
        <v>12</v>
      </c>
      <c r="B394" t="s">
        <v>1507</v>
      </c>
      <c r="C394">
        <v>49</v>
      </c>
    </row>
    <row r="395" spans="1:3" x14ac:dyDescent="0.3">
      <c r="A395" t="s">
        <v>74</v>
      </c>
      <c r="B395" t="s">
        <v>1498</v>
      </c>
      <c r="C395">
        <v>299</v>
      </c>
    </row>
    <row r="396" spans="1:3" x14ac:dyDescent="0.3">
      <c r="A396" t="s">
        <v>20</v>
      </c>
      <c r="B396" t="s">
        <v>1495</v>
      </c>
      <c r="C396">
        <v>49</v>
      </c>
    </row>
    <row r="397" spans="1:3" x14ac:dyDescent="0.3">
      <c r="A397" t="s">
        <v>74</v>
      </c>
      <c r="B397" t="s">
        <v>1487</v>
      </c>
      <c r="C397">
        <v>49</v>
      </c>
    </row>
    <row r="398" spans="1:3" x14ac:dyDescent="0.3">
      <c r="A398" t="s">
        <v>8</v>
      </c>
      <c r="B398" t="s">
        <v>1500</v>
      </c>
      <c r="C398">
        <v>299</v>
      </c>
    </row>
    <row r="399" spans="1:3" x14ac:dyDescent="0.3">
      <c r="A399" t="s">
        <v>17</v>
      </c>
      <c r="B399" t="s">
        <v>1510</v>
      </c>
      <c r="C399">
        <v>49</v>
      </c>
    </row>
    <row r="400" spans="1:3" x14ac:dyDescent="0.3">
      <c r="A400" t="s">
        <v>28</v>
      </c>
      <c r="B400" t="s">
        <v>1487</v>
      </c>
      <c r="C400">
        <v>49</v>
      </c>
    </row>
    <row r="401" spans="1:3" x14ac:dyDescent="0.3">
      <c r="A401" t="s">
        <v>15</v>
      </c>
      <c r="B401" t="s">
        <v>1489</v>
      </c>
      <c r="C401">
        <v>1499</v>
      </c>
    </row>
    <row r="402" spans="1:3" x14ac:dyDescent="0.3">
      <c r="A402" t="s">
        <v>56</v>
      </c>
      <c r="B402" t="s">
        <v>1499</v>
      </c>
      <c r="C402">
        <v>799</v>
      </c>
    </row>
    <row r="403" spans="1:3" x14ac:dyDescent="0.3">
      <c r="A403" t="s">
        <v>54</v>
      </c>
      <c r="B403" t="s">
        <v>1508</v>
      </c>
      <c r="C403">
        <v>299</v>
      </c>
    </row>
    <row r="404" spans="1:3" x14ac:dyDescent="0.3">
      <c r="A404" t="s">
        <v>30</v>
      </c>
      <c r="B404" t="s">
        <v>1501</v>
      </c>
      <c r="C404">
        <v>49</v>
      </c>
    </row>
    <row r="405" spans="1:3" x14ac:dyDescent="0.3">
      <c r="A405" t="s">
        <v>20</v>
      </c>
      <c r="B405" t="s">
        <v>1498</v>
      </c>
      <c r="C405">
        <v>1499</v>
      </c>
    </row>
    <row r="406" spans="1:3" x14ac:dyDescent="0.3">
      <c r="A406" t="s">
        <v>23</v>
      </c>
      <c r="B406" t="s">
        <v>1514</v>
      </c>
      <c r="C406">
        <v>499</v>
      </c>
    </row>
    <row r="407" spans="1:3" x14ac:dyDescent="0.3">
      <c r="A407" t="s">
        <v>20</v>
      </c>
      <c r="B407" t="s">
        <v>1505</v>
      </c>
      <c r="C407">
        <v>799</v>
      </c>
    </row>
    <row r="408" spans="1:3" x14ac:dyDescent="0.3">
      <c r="A408" t="s">
        <v>54</v>
      </c>
      <c r="B408" t="s">
        <v>1502</v>
      </c>
      <c r="C408">
        <v>799</v>
      </c>
    </row>
    <row r="409" spans="1:3" x14ac:dyDescent="0.3">
      <c r="A409" t="s">
        <v>20</v>
      </c>
      <c r="B409" t="s">
        <v>1496</v>
      </c>
      <c r="C409">
        <v>49</v>
      </c>
    </row>
    <row r="410" spans="1:3" x14ac:dyDescent="0.3">
      <c r="A410" t="s">
        <v>87</v>
      </c>
      <c r="B410" t="s">
        <v>1487</v>
      </c>
      <c r="C410">
        <v>149</v>
      </c>
    </row>
    <row r="411" spans="1:3" x14ac:dyDescent="0.3">
      <c r="A411" t="s">
        <v>28</v>
      </c>
      <c r="B411" t="s">
        <v>1491</v>
      </c>
      <c r="C411">
        <v>149</v>
      </c>
    </row>
    <row r="412" spans="1:3" x14ac:dyDescent="0.3">
      <c r="A412" t="s">
        <v>17</v>
      </c>
      <c r="B412" t="s">
        <v>1514</v>
      </c>
      <c r="C412">
        <v>99</v>
      </c>
    </row>
    <row r="413" spans="1:3" x14ac:dyDescent="0.3">
      <c r="A413" t="s">
        <v>74</v>
      </c>
      <c r="B413" t="s">
        <v>1499</v>
      </c>
      <c r="C413">
        <v>499</v>
      </c>
    </row>
    <row r="414" spans="1:3" x14ac:dyDescent="0.3">
      <c r="A414" t="s">
        <v>76</v>
      </c>
      <c r="B414" t="s">
        <v>1516</v>
      </c>
      <c r="C414">
        <v>149</v>
      </c>
    </row>
    <row r="415" spans="1:3" x14ac:dyDescent="0.3">
      <c r="A415" t="s">
        <v>23</v>
      </c>
      <c r="B415" t="s">
        <v>1490</v>
      </c>
      <c r="C415">
        <v>1999</v>
      </c>
    </row>
    <row r="416" spans="1:3" x14ac:dyDescent="0.3">
      <c r="A416" t="s">
        <v>93</v>
      </c>
      <c r="B416" t="s">
        <v>1494</v>
      </c>
      <c r="C416">
        <v>4999</v>
      </c>
    </row>
    <row r="417" spans="1:3" x14ac:dyDescent="0.3">
      <c r="A417" t="s">
        <v>68</v>
      </c>
      <c r="B417" t="s">
        <v>1495</v>
      </c>
      <c r="C417">
        <v>1999</v>
      </c>
    </row>
    <row r="418" spans="1:3" x14ac:dyDescent="0.3">
      <c r="A418" t="s">
        <v>36</v>
      </c>
      <c r="B418" t="s">
        <v>1495</v>
      </c>
      <c r="C418">
        <v>4999</v>
      </c>
    </row>
    <row r="419" spans="1:3" x14ac:dyDescent="0.3">
      <c r="A419" t="s">
        <v>50</v>
      </c>
      <c r="B419" t="s">
        <v>1511</v>
      </c>
      <c r="C419">
        <v>4999</v>
      </c>
    </row>
    <row r="420" spans="1:3" x14ac:dyDescent="0.3">
      <c r="A420" t="s">
        <v>87</v>
      </c>
      <c r="B420" t="s">
        <v>1507</v>
      </c>
      <c r="C420">
        <v>1999</v>
      </c>
    </row>
    <row r="421" spans="1:3" x14ac:dyDescent="0.3">
      <c r="A421" t="s">
        <v>84</v>
      </c>
      <c r="B421" t="s">
        <v>1506</v>
      </c>
      <c r="C421">
        <v>999</v>
      </c>
    </row>
    <row r="422" spans="1:3" x14ac:dyDescent="0.3">
      <c r="A422" t="s">
        <v>76</v>
      </c>
      <c r="B422" t="s">
        <v>1498</v>
      </c>
      <c r="C422">
        <v>1999</v>
      </c>
    </row>
    <row r="423" spans="1:3" x14ac:dyDescent="0.3">
      <c r="A423" t="s">
        <v>30</v>
      </c>
      <c r="B423" t="s">
        <v>1513</v>
      </c>
      <c r="C423">
        <v>4999</v>
      </c>
    </row>
    <row r="424" spans="1:3" x14ac:dyDescent="0.3">
      <c r="A424" t="s">
        <v>91</v>
      </c>
      <c r="B424" t="s">
        <v>1507</v>
      </c>
      <c r="C424">
        <v>4999</v>
      </c>
    </row>
    <row r="425" spans="1:3" x14ac:dyDescent="0.3">
      <c r="A425" t="s">
        <v>58</v>
      </c>
      <c r="B425" t="s">
        <v>1502</v>
      </c>
      <c r="C425">
        <v>1999</v>
      </c>
    </row>
    <row r="426" spans="1:3" x14ac:dyDescent="0.3">
      <c r="A426" t="s">
        <v>64</v>
      </c>
      <c r="B426" t="s">
        <v>1509</v>
      </c>
      <c r="C426">
        <v>399</v>
      </c>
    </row>
    <row r="427" spans="1:3" x14ac:dyDescent="0.3">
      <c r="A427" t="s">
        <v>46</v>
      </c>
      <c r="B427" t="s">
        <v>1509</v>
      </c>
      <c r="C427">
        <v>299</v>
      </c>
    </row>
    <row r="428" spans="1:3" x14ac:dyDescent="0.3">
      <c r="A428" t="s">
        <v>72</v>
      </c>
      <c r="B428" t="s">
        <v>1515</v>
      </c>
      <c r="C428">
        <v>499</v>
      </c>
    </row>
    <row r="429" spans="1:3" x14ac:dyDescent="0.3">
      <c r="A429" t="s">
        <v>30</v>
      </c>
      <c r="B429" t="s">
        <v>1515</v>
      </c>
      <c r="C429">
        <v>399</v>
      </c>
    </row>
    <row r="430" spans="1:3" x14ac:dyDescent="0.3">
      <c r="A430" t="s">
        <v>74</v>
      </c>
      <c r="B430" t="s">
        <v>1515</v>
      </c>
      <c r="C430">
        <v>598</v>
      </c>
    </row>
    <row r="431" spans="1:3" x14ac:dyDescent="0.3">
      <c r="A431" t="s">
        <v>66</v>
      </c>
      <c r="B431" t="s">
        <v>1515</v>
      </c>
      <c r="C431">
        <v>299</v>
      </c>
    </row>
    <row r="432" spans="1:3" x14ac:dyDescent="0.3">
      <c r="A432" t="s">
        <v>80</v>
      </c>
      <c r="B432" t="s">
        <v>1515</v>
      </c>
      <c r="C432">
        <v>399</v>
      </c>
    </row>
    <row r="433" spans="1:3" x14ac:dyDescent="0.3">
      <c r="A433" t="s">
        <v>70</v>
      </c>
      <c r="B433" t="s">
        <v>1515</v>
      </c>
      <c r="C433">
        <v>399</v>
      </c>
    </row>
    <row r="434" spans="1:3" x14ac:dyDescent="0.3">
      <c r="A434" t="s">
        <v>25</v>
      </c>
      <c r="B434" t="s">
        <v>1509</v>
      </c>
      <c r="C434">
        <v>299</v>
      </c>
    </row>
    <row r="435" spans="1:3" x14ac:dyDescent="0.3">
      <c r="A435" t="s">
        <v>43</v>
      </c>
      <c r="B435" t="s">
        <v>1509</v>
      </c>
      <c r="C435">
        <v>499</v>
      </c>
    </row>
    <row r="436" spans="1:3" x14ac:dyDescent="0.3">
      <c r="A436" t="s">
        <v>84</v>
      </c>
      <c r="B436" t="s">
        <v>1509</v>
      </c>
      <c r="C436">
        <v>299</v>
      </c>
    </row>
    <row r="437" spans="1:3" x14ac:dyDescent="0.3">
      <c r="A437" t="s">
        <v>41</v>
      </c>
      <c r="B437" t="s">
        <v>1499</v>
      </c>
      <c r="C437">
        <v>399</v>
      </c>
    </row>
    <row r="438" spans="1:3" x14ac:dyDescent="0.3">
      <c r="A438" t="s">
        <v>64</v>
      </c>
      <c r="B438" t="s">
        <v>1499</v>
      </c>
      <c r="C438">
        <v>299</v>
      </c>
    </row>
    <row r="439" spans="1:3" x14ac:dyDescent="0.3">
      <c r="A439" t="s">
        <v>39</v>
      </c>
      <c r="B439" t="s">
        <v>1496</v>
      </c>
      <c r="C439">
        <v>299</v>
      </c>
    </row>
    <row r="440" spans="1:3" x14ac:dyDescent="0.3">
      <c r="A440" t="s">
        <v>17</v>
      </c>
      <c r="B440" t="s">
        <v>1496</v>
      </c>
      <c r="C440">
        <v>499</v>
      </c>
    </row>
    <row r="441" spans="1:3" x14ac:dyDescent="0.3">
      <c r="A441" t="s">
        <v>76</v>
      </c>
      <c r="B441" t="s">
        <v>1497</v>
      </c>
      <c r="C441">
        <v>499</v>
      </c>
    </row>
    <row r="442" spans="1:3" x14ac:dyDescent="0.3">
      <c r="A442" t="s">
        <v>91</v>
      </c>
      <c r="B442" t="s">
        <v>1497</v>
      </c>
      <c r="C442">
        <v>399</v>
      </c>
    </row>
    <row r="443" spans="1:3" x14ac:dyDescent="0.3">
      <c r="A443" t="s">
        <v>58</v>
      </c>
      <c r="B443" t="s">
        <v>1497</v>
      </c>
      <c r="C443">
        <v>399</v>
      </c>
    </row>
    <row r="444" spans="1:3" x14ac:dyDescent="0.3">
      <c r="A444" t="s">
        <v>43</v>
      </c>
      <c r="B444" t="s">
        <v>1507</v>
      </c>
      <c r="C444">
        <v>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2"/>
  <sheetViews>
    <sheetView workbookViewId="0"/>
  </sheetViews>
  <sheetFormatPr defaultRowHeight="14.4" x14ac:dyDescent="0.3"/>
  <cols>
    <col min="1" max="4" width="18" customWidth="1"/>
  </cols>
  <sheetData>
    <row r="1" spans="1:4" x14ac:dyDescent="0.3">
      <c r="A1" t="s">
        <v>0</v>
      </c>
      <c r="B1" t="s">
        <v>100</v>
      </c>
      <c r="C1" t="s">
        <v>1517</v>
      </c>
      <c r="D1" t="s">
        <v>1518</v>
      </c>
    </row>
    <row r="2" spans="1:4" x14ac:dyDescent="0.3">
      <c r="A2" t="s">
        <v>43</v>
      </c>
      <c r="B2" t="s">
        <v>107</v>
      </c>
      <c r="C2">
        <v>10183</v>
      </c>
      <c r="D2">
        <v>17</v>
      </c>
    </row>
    <row r="3" spans="1:4" x14ac:dyDescent="0.3">
      <c r="A3" t="s">
        <v>66</v>
      </c>
      <c r="B3" t="s">
        <v>107</v>
      </c>
      <c r="C3">
        <v>8038</v>
      </c>
      <c r="D3">
        <v>12</v>
      </c>
    </row>
    <row r="4" spans="1:4" x14ac:dyDescent="0.3">
      <c r="A4" t="s">
        <v>32</v>
      </c>
      <c r="B4" t="s">
        <v>107</v>
      </c>
      <c r="C4">
        <v>9292</v>
      </c>
      <c r="D4">
        <v>8</v>
      </c>
    </row>
    <row r="5" spans="1:4" x14ac:dyDescent="0.3">
      <c r="A5" t="s">
        <v>56</v>
      </c>
      <c r="B5" t="s">
        <v>107</v>
      </c>
      <c r="C5">
        <v>11336</v>
      </c>
      <c r="D5">
        <v>14</v>
      </c>
    </row>
    <row r="6" spans="1:4" x14ac:dyDescent="0.3">
      <c r="A6" t="s">
        <v>12</v>
      </c>
      <c r="B6" t="s">
        <v>107</v>
      </c>
      <c r="C6">
        <v>8084</v>
      </c>
      <c r="D6">
        <v>16</v>
      </c>
    </row>
    <row r="7" spans="1:4" x14ac:dyDescent="0.3">
      <c r="A7" t="s">
        <v>58</v>
      </c>
      <c r="B7" t="s">
        <v>107</v>
      </c>
      <c r="C7">
        <v>1041</v>
      </c>
      <c r="D7">
        <v>9</v>
      </c>
    </row>
    <row r="8" spans="1:4" x14ac:dyDescent="0.3">
      <c r="A8" t="s">
        <v>36</v>
      </c>
      <c r="B8" t="s">
        <v>107</v>
      </c>
      <c r="C8">
        <v>10390</v>
      </c>
      <c r="D8">
        <v>10</v>
      </c>
    </row>
    <row r="9" spans="1:4" x14ac:dyDescent="0.3">
      <c r="A9" t="s">
        <v>48</v>
      </c>
      <c r="B9" t="s">
        <v>107</v>
      </c>
      <c r="C9">
        <v>7089</v>
      </c>
      <c r="D9">
        <v>11</v>
      </c>
    </row>
    <row r="10" spans="1:4" x14ac:dyDescent="0.3">
      <c r="A10" t="s">
        <v>82</v>
      </c>
      <c r="B10" t="s">
        <v>107</v>
      </c>
      <c r="C10">
        <v>8688</v>
      </c>
      <c r="D10">
        <v>12</v>
      </c>
    </row>
    <row r="11" spans="1:4" x14ac:dyDescent="0.3">
      <c r="A11" t="s">
        <v>34</v>
      </c>
      <c r="B11" t="s">
        <v>107</v>
      </c>
      <c r="C11">
        <v>9389</v>
      </c>
      <c r="D11">
        <v>11</v>
      </c>
    </row>
    <row r="12" spans="1:4" x14ac:dyDescent="0.3">
      <c r="A12" t="s">
        <v>68</v>
      </c>
      <c r="B12" t="s">
        <v>155</v>
      </c>
      <c r="C12">
        <v>3048</v>
      </c>
      <c r="D12">
        <v>2</v>
      </c>
    </row>
    <row r="13" spans="1:4" x14ac:dyDescent="0.3">
      <c r="A13" t="s">
        <v>78</v>
      </c>
      <c r="B13" t="s">
        <v>107</v>
      </c>
      <c r="C13">
        <v>10190</v>
      </c>
      <c r="D13">
        <v>10</v>
      </c>
    </row>
    <row r="14" spans="1:4" x14ac:dyDescent="0.3">
      <c r="A14" t="s">
        <v>93</v>
      </c>
      <c r="B14" t="s">
        <v>107</v>
      </c>
      <c r="C14">
        <v>3039</v>
      </c>
      <c r="D14">
        <v>11</v>
      </c>
    </row>
    <row r="15" spans="1:4" x14ac:dyDescent="0.3">
      <c r="A15" t="s">
        <v>50</v>
      </c>
      <c r="B15" t="s">
        <v>107</v>
      </c>
      <c r="C15">
        <v>7239</v>
      </c>
      <c r="D15">
        <v>11</v>
      </c>
    </row>
    <row r="16" spans="1:4" x14ac:dyDescent="0.3">
      <c r="A16" t="s">
        <v>62</v>
      </c>
      <c r="B16" t="s">
        <v>107</v>
      </c>
      <c r="C16">
        <v>12534</v>
      </c>
      <c r="D16">
        <v>16</v>
      </c>
    </row>
    <row r="17" spans="1:4" x14ac:dyDescent="0.3">
      <c r="A17" t="s">
        <v>52</v>
      </c>
      <c r="B17" t="s">
        <v>107</v>
      </c>
      <c r="C17">
        <v>4192</v>
      </c>
      <c r="D17">
        <v>8</v>
      </c>
    </row>
    <row r="18" spans="1:4" x14ac:dyDescent="0.3">
      <c r="A18" t="s">
        <v>39</v>
      </c>
      <c r="B18" t="s">
        <v>107</v>
      </c>
      <c r="C18">
        <v>6189</v>
      </c>
      <c r="D18">
        <v>11</v>
      </c>
    </row>
    <row r="19" spans="1:4" x14ac:dyDescent="0.3">
      <c r="A19" t="s">
        <v>54</v>
      </c>
      <c r="B19" t="s">
        <v>107</v>
      </c>
      <c r="C19">
        <v>3887</v>
      </c>
      <c r="D19">
        <v>13</v>
      </c>
    </row>
    <row r="20" spans="1:4" x14ac:dyDescent="0.3">
      <c r="A20" t="s">
        <v>20</v>
      </c>
      <c r="B20" t="s">
        <v>198</v>
      </c>
      <c r="C20">
        <v>799</v>
      </c>
      <c r="D20">
        <v>1</v>
      </c>
    </row>
    <row r="21" spans="1:4" x14ac:dyDescent="0.3">
      <c r="A21" t="s">
        <v>41</v>
      </c>
      <c r="B21" t="s">
        <v>107</v>
      </c>
      <c r="C21">
        <v>7439</v>
      </c>
      <c r="D21">
        <v>11</v>
      </c>
    </row>
    <row r="22" spans="1:4" x14ac:dyDescent="0.3">
      <c r="A22" t="s">
        <v>74</v>
      </c>
      <c r="B22" t="s">
        <v>107</v>
      </c>
      <c r="C22">
        <v>2640</v>
      </c>
      <c r="D22">
        <v>10</v>
      </c>
    </row>
    <row r="23" spans="1:4" x14ac:dyDescent="0.3">
      <c r="A23" t="s">
        <v>87</v>
      </c>
      <c r="B23" t="s">
        <v>107</v>
      </c>
      <c r="C23">
        <v>10833</v>
      </c>
      <c r="D23">
        <v>17</v>
      </c>
    </row>
    <row r="24" spans="1:4" x14ac:dyDescent="0.3">
      <c r="A24" t="s">
        <v>64</v>
      </c>
      <c r="B24" t="s">
        <v>107</v>
      </c>
      <c r="C24">
        <v>2991</v>
      </c>
      <c r="D24">
        <v>9</v>
      </c>
    </row>
    <row r="25" spans="1:4" x14ac:dyDescent="0.3">
      <c r="A25" t="s">
        <v>23</v>
      </c>
      <c r="B25" t="s">
        <v>107</v>
      </c>
      <c r="C25">
        <v>11638</v>
      </c>
      <c r="D25">
        <v>12</v>
      </c>
    </row>
    <row r="26" spans="1:4" x14ac:dyDescent="0.3">
      <c r="A26" t="s">
        <v>72</v>
      </c>
      <c r="B26" t="s">
        <v>107</v>
      </c>
      <c r="C26">
        <v>7384</v>
      </c>
      <c r="D26">
        <v>16</v>
      </c>
    </row>
    <row r="27" spans="1:4" x14ac:dyDescent="0.3">
      <c r="A27" t="s">
        <v>84</v>
      </c>
      <c r="B27" t="s">
        <v>107</v>
      </c>
      <c r="C27">
        <v>11535</v>
      </c>
      <c r="D27">
        <v>15</v>
      </c>
    </row>
    <row r="28" spans="1:4" x14ac:dyDescent="0.3">
      <c r="A28" t="s">
        <v>68</v>
      </c>
      <c r="B28" t="s">
        <v>107</v>
      </c>
      <c r="C28">
        <v>4493</v>
      </c>
      <c r="D28">
        <v>7</v>
      </c>
    </row>
    <row r="29" spans="1:4" x14ac:dyDescent="0.3">
      <c r="A29" t="s">
        <v>70</v>
      </c>
      <c r="B29" t="s">
        <v>107</v>
      </c>
      <c r="C29">
        <v>5686</v>
      </c>
      <c r="D29">
        <v>14</v>
      </c>
    </row>
    <row r="30" spans="1:4" x14ac:dyDescent="0.3">
      <c r="A30" t="s">
        <v>20</v>
      </c>
      <c r="B30" t="s">
        <v>107</v>
      </c>
      <c r="C30">
        <v>6637</v>
      </c>
      <c r="D30">
        <v>13</v>
      </c>
    </row>
    <row r="31" spans="1:4" x14ac:dyDescent="0.3">
      <c r="A31" t="s">
        <v>8</v>
      </c>
      <c r="B31" t="s">
        <v>107</v>
      </c>
      <c r="C31">
        <v>3640</v>
      </c>
      <c r="D31">
        <v>10</v>
      </c>
    </row>
    <row r="32" spans="1:4" x14ac:dyDescent="0.3">
      <c r="A32" t="s">
        <v>46</v>
      </c>
      <c r="B32" t="s">
        <v>107</v>
      </c>
      <c r="C32">
        <v>12738</v>
      </c>
      <c r="D32">
        <v>12</v>
      </c>
    </row>
    <row r="33" spans="1:4" x14ac:dyDescent="0.3">
      <c r="A33" t="s">
        <v>15</v>
      </c>
      <c r="B33" t="s">
        <v>107</v>
      </c>
      <c r="C33">
        <v>6941</v>
      </c>
      <c r="D33">
        <v>9</v>
      </c>
    </row>
    <row r="34" spans="1:4" x14ac:dyDescent="0.3">
      <c r="A34" t="s">
        <v>25</v>
      </c>
      <c r="B34" t="s">
        <v>107</v>
      </c>
      <c r="C34">
        <v>7086</v>
      </c>
      <c r="D34">
        <v>14</v>
      </c>
    </row>
    <row r="35" spans="1:4" x14ac:dyDescent="0.3">
      <c r="A35" t="s">
        <v>60</v>
      </c>
      <c r="B35" t="s">
        <v>107</v>
      </c>
      <c r="C35">
        <v>3438</v>
      </c>
      <c r="D35">
        <v>12</v>
      </c>
    </row>
    <row r="36" spans="1:4" x14ac:dyDescent="0.3">
      <c r="A36" t="s">
        <v>17</v>
      </c>
      <c r="B36" t="s">
        <v>107</v>
      </c>
      <c r="C36">
        <v>5340</v>
      </c>
      <c r="D36">
        <v>10</v>
      </c>
    </row>
    <row r="37" spans="1:4" x14ac:dyDescent="0.3">
      <c r="A37" t="s">
        <v>76</v>
      </c>
      <c r="B37" t="s">
        <v>107</v>
      </c>
      <c r="C37">
        <v>2589</v>
      </c>
      <c r="D37">
        <v>11</v>
      </c>
    </row>
    <row r="38" spans="1:4" x14ac:dyDescent="0.3">
      <c r="A38" t="s">
        <v>30</v>
      </c>
      <c r="B38" t="s">
        <v>107</v>
      </c>
      <c r="C38">
        <v>7639</v>
      </c>
      <c r="D38">
        <v>11</v>
      </c>
    </row>
    <row r="39" spans="1:4" x14ac:dyDescent="0.3">
      <c r="A39" t="s">
        <v>89</v>
      </c>
      <c r="B39" t="s">
        <v>107</v>
      </c>
      <c r="C39">
        <v>3342</v>
      </c>
      <c r="D39">
        <v>8</v>
      </c>
    </row>
    <row r="40" spans="1:4" x14ac:dyDescent="0.3">
      <c r="A40" t="s">
        <v>36</v>
      </c>
      <c r="B40" t="s">
        <v>155</v>
      </c>
      <c r="C40">
        <v>2999</v>
      </c>
      <c r="D40">
        <v>1</v>
      </c>
    </row>
    <row r="41" spans="1:4" x14ac:dyDescent="0.3">
      <c r="A41" t="s">
        <v>80</v>
      </c>
      <c r="B41" t="s">
        <v>107</v>
      </c>
      <c r="C41">
        <v>9635</v>
      </c>
      <c r="D41">
        <v>15</v>
      </c>
    </row>
    <row r="42" spans="1:4" x14ac:dyDescent="0.3">
      <c r="A42" t="s">
        <v>25</v>
      </c>
      <c r="B42" t="s">
        <v>198</v>
      </c>
      <c r="C42">
        <v>49</v>
      </c>
      <c r="D42">
        <v>1</v>
      </c>
    </row>
    <row r="43" spans="1:4" x14ac:dyDescent="0.3">
      <c r="A43" t="s">
        <v>4</v>
      </c>
      <c r="B43" t="s">
        <v>107</v>
      </c>
      <c r="C43">
        <v>10142</v>
      </c>
      <c r="D43">
        <v>8</v>
      </c>
    </row>
    <row r="44" spans="1:4" x14ac:dyDescent="0.3">
      <c r="A44" t="s">
        <v>91</v>
      </c>
      <c r="B44" t="s">
        <v>107</v>
      </c>
      <c r="C44">
        <v>11291</v>
      </c>
      <c r="D44">
        <v>9</v>
      </c>
    </row>
    <row r="45" spans="1:4" x14ac:dyDescent="0.3">
      <c r="A45" t="s">
        <v>70</v>
      </c>
      <c r="B45" t="s">
        <v>155</v>
      </c>
      <c r="C45">
        <v>3498</v>
      </c>
      <c r="D45">
        <v>2</v>
      </c>
    </row>
    <row r="46" spans="1:4" x14ac:dyDescent="0.3">
      <c r="A46" t="s">
        <v>74</v>
      </c>
      <c r="B46" t="s">
        <v>155</v>
      </c>
      <c r="C46">
        <v>2146</v>
      </c>
      <c r="D46">
        <v>4</v>
      </c>
    </row>
    <row r="47" spans="1:4" x14ac:dyDescent="0.3">
      <c r="A47" t="s">
        <v>12</v>
      </c>
      <c r="B47" t="s">
        <v>198</v>
      </c>
      <c r="C47">
        <v>149</v>
      </c>
      <c r="D47">
        <v>1</v>
      </c>
    </row>
    <row r="48" spans="1:4" x14ac:dyDescent="0.3">
      <c r="A48" t="s">
        <v>76</v>
      </c>
      <c r="B48" t="s">
        <v>155</v>
      </c>
      <c r="C48">
        <v>3498</v>
      </c>
      <c r="D48">
        <v>2</v>
      </c>
    </row>
    <row r="49" spans="1:4" x14ac:dyDescent="0.3">
      <c r="A49" t="s">
        <v>32</v>
      </c>
      <c r="B49" t="s">
        <v>198</v>
      </c>
      <c r="C49">
        <v>149</v>
      </c>
      <c r="D49">
        <v>1</v>
      </c>
    </row>
    <row r="50" spans="1:4" x14ac:dyDescent="0.3">
      <c r="A50" t="s">
        <v>28</v>
      </c>
      <c r="B50" t="s">
        <v>107</v>
      </c>
      <c r="C50">
        <v>4485</v>
      </c>
      <c r="D50">
        <v>15</v>
      </c>
    </row>
    <row r="51" spans="1:4" x14ac:dyDescent="0.3">
      <c r="A51" t="s">
        <v>28</v>
      </c>
      <c r="B51" t="s">
        <v>155</v>
      </c>
      <c r="C51">
        <v>497</v>
      </c>
      <c r="D51">
        <v>3</v>
      </c>
    </row>
    <row r="52" spans="1:4" x14ac:dyDescent="0.3">
      <c r="A52" t="s">
        <v>54</v>
      </c>
      <c r="B52" t="s">
        <v>155</v>
      </c>
      <c r="C52">
        <v>4999</v>
      </c>
      <c r="D52">
        <v>1</v>
      </c>
    </row>
    <row r="53" spans="1:4" x14ac:dyDescent="0.3">
      <c r="A53" t="s">
        <v>23</v>
      </c>
      <c r="B53" t="s">
        <v>155</v>
      </c>
      <c r="C53">
        <v>2297</v>
      </c>
      <c r="D53">
        <v>3</v>
      </c>
    </row>
    <row r="54" spans="1:4" x14ac:dyDescent="0.3">
      <c r="A54" t="s">
        <v>91</v>
      </c>
      <c r="B54" t="s">
        <v>198</v>
      </c>
      <c r="C54">
        <v>10997</v>
      </c>
      <c r="D54">
        <v>3</v>
      </c>
    </row>
    <row r="55" spans="1:4" x14ac:dyDescent="0.3">
      <c r="A55" t="s">
        <v>4</v>
      </c>
      <c r="B55" t="s">
        <v>155</v>
      </c>
      <c r="C55">
        <v>299</v>
      </c>
      <c r="D55">
        <v>1</v>
      </c>
    </row>
    <row r="56" spans="1:4" x14ac:dyDescent="0.3">
      <c r="A56" t="s">
        <v>93</v>
      </c>
      <c r="B56" t="s">
        <v>155</v>
      </c>
      <c r="C56">
        <v>548</v>
      </c>
      <c r="D56">
        <v>2</v>
      </c>
    </row>
    <row r="57" spans="1:4" x14ac:dyDescent="0.3">
      <c r="A57" t="s">
        <v>66</v>
      </c>
      <c r="B57" t="s">
        <v>198</v>
      </c>
      <c r="C57">
        <v>4047</v>
      </c>
      <c r="D57">
        <v>3</v>
      </c>
    </row>
    <row r="58" spans="1:4" x14ac:dyDescent="0.3">
      <c r="A58" t="s">
        <v>32</v>
      </c>
      <c r="B58" t="s">
        <v>155</v>
      </c>
      <c r="C58">
        <v>1499</v>
      </c>
      <c r="D58">
        <v>1</v>
      </c>
    </row>
    <row r="59" spans="1:4" x14ac:dyDescent="0.3">
      <c r="A59" t="s">
        <v>89</v>
      </c>
      <c r="B59" t="s">
        <v>155</v>
      </c>
      <c r="C59">
        <v>598</v>
      </c>
      <c r="D59">
        <v>2</v>
      </c>
    </row>
    <row r="60" spans="1:4" x14ac:dyDescent="0.3">
      <c r="A60" t="s">
        <v>70</v>
      </c>
      <c r="B60" t="s">
        <v>198</v>
      </c>
      <c r="C60">
        <v>3897</v>
      </c>
      <c r="D60">
        <v>3</v>
      </c>
    </row>
    <row r="61" spans="1:4" x14ac:dyDescent="0.3">
      <c r="A61" t="s">
        <v>52</v>
      </c>
      <c r="B61" t="s">
        <v>155</v>
      </c>
      <c r="C61">
        <v>49</v>
      </c>
      <c r="D61">
        <v>1</v>
      </c>
    </row>
    <row r="62" spans="1:4" x14ac:dyDescent="0.3">
      <c r="A62" t="s">
        <v>50</v>
      </c>
      <c r="B62" t="s">
        <v>155</v>
      </c>
      <c r="C62">
        <v>598</v>
      </c>
      <c r="D62">
        <v>2</v>
      </c>
    </row>
    <row r="63" spans="1:4" x14ac:dyDescent="0.3">
      <c r="A63" t="s">
        <v>43</v>
      </c>
      <c r="B63" t="s">
        <v>155</v>
      </c>
      <c r="C63">
        <v>947</v>
      </c>
      <c r="D63">
        <v>3</v>
      </c>
    </row>
    <row r="64" spans="1:4" x14ac:dyDescent="0.3">
      <c r="A64" t="s">
        <v>78</v>
      </c>
      <c r="B64" t="s">
        <v>155</v>
      </c>
      <c r="C64">
        <v>149</v>
      </c>
      <c r="D64">
        <v>1</v>
      </c>
    </row>
    <row r="65" spans="1:4" x14ac:dyDescent="0.3">
      <c r="A65" t="s">
        <v>64</v>
      </c>
      <c r="B65" t="s">
        <v>155</v>
      </c>
      <c r="C65">
        <v>2197</v>
      </c>
      <c r="D65">
        <v>3</v>
      </c>
    </row>
    <row r="66" spans="1:4" x14ac:dyDescent="0.3">
      <c r="A66" t="s">
        <v>93</v>
      </c>
      <c r="B66" t="s">
        <v>198</v>
      </c>
      <c r="C66">
        <v>5148</v>
      </c>
      <c r="D66">
        <v>2</v>
      </c>
    </row>
    <row r="67" spans="1:4" x14ac:dyDescent="0.3">
      <c r="A67" t="s">
        <v>66</v>
      </c>
      <c r="B67" t="s">
        <v>155</v>
      </c>
      <c r="C67">
        <v>1499</v>
      </c>
      <c r="D67">
        <v>1</v>
      </c>
    </row>
    <row r="68" spans="1:4" x14ac:dyDescent="0.3">
      <c r="A68" t="s">
        <v>74</v>
      </c>
      <c r="B68" t="s">
        <v>198</v>
      </c>
      <c r="C68">
        <v>49</v>
      </c>
      <c r="D68">
        <v>1</v>
      </c>
    </row>
    <row r="69" spans="1:4" x14ac:dyDescent="0.3">
      <c r="A69" t="s">
        <v>56</v>
      </c>
      <c r="B69" t="s">
        <v>155</v>
      </c>
      <c r="C69">
        <v>1198</v>
      </c>
      <c r="D69">
        <v>2</v>
      </c>
    </row>
    <row r="70" spans="1:4" x14ac:dyDescent="0.3">
      <c r="A70" t="s">
        <v>60</v>
      </c>
      <c r="B70" t="s">
        <v>198</v>
      </c>
      <c r="C70">
        <v>149</v>
      </c>
      <c r="D70">
        <v>1</v>
      </c>
    </row>
    <row r="71" spans="1:4" x14ac:dyDescent="0.3">
      <c r="A71" t="s">
        <v>82</v>
      </c>
      <c r="B71" t="s">
        <v>155</v>
      </c>
      <c r="C71">
        <v>598</v>
      </c>
      <c r="D71">
        <v>2</v>
      </c>
    </row>
    <row r="72" spans="1:4" x14ac:dyDescent="0.3">
      <c r="A72" t="s">
        <v>87</v>
      </c>
      <c r="B72" t="s">
        <v>155</v>
      </c>
      <c r="C72">
        <v>99</v>
      </c>
      <c r="D72">
        <v>1</v>
      </c>
    </row>
    <row r="73" spans="1:4" x14ac:dyDescent="0.3">
      <c r="A73" t="s">
        <v>34</v>
      </c>
      <c r="B73" t="s">
        <v>155</v>
      </c>
      <c r="C73">
        <v>998</v>
      </c>
      <c r="D73">
        <v>2</v>
      </c>
    </row>
    <row r="74" spans="1:4" x14ac:dyDescent="0.3">
      <c r="A74" t="s">
        <v>30</v>
      </c>
      <c r="B74" t="s">
        <v>198</v>
      </c>
      <c r="C74">
        <v>5048</v>
      </c>
      <c r="D74">
        <v>2</v>
      </c>
    </row>
    <row r="75" spans="1:4" x14ac:dyDescent="0.3">
      <c r="A75" t="s">
        <v>23</v>
      </c>
      <c r="B75" t="s">
        <v>198</v>
      </c>
      <c r="C75">
        <v>1999</v>
      </c>
      <c r="D75">
        <v>1</v>
      </c>
    </row>
    <row r="76" spans="1:4" x14ac:dyDescent="0.3">
      <c r="A76" t="s">
        <v>68</v>
      </c>
      <c r="B76" t="s">
        <v>198</v>
      </c>
      <c r="C76">
        <v>1999</v>
      </c>
      <c r="D76">
        <v>1</v>
      </c>
    </row>
    <row r="77" spans="1:4" x14ac:dyDescent="0.3">
      <c r="A77" t="s">
        <v>36</v>
      </c>
      <c r="B77" t="s">
        <v>198</v>
      </c>
      <c r="C77">
        <v>4999</v>
      </c>
      <c r="D77">
        <v>1</v>
      </c>
    </row>
    <row r="78" spans="1:4" x14ac:dyDescent="0.3">
      <c r="A78" t="s">
        <v>50</v>
      </c>
      <c r="B78" t="s">
        <v>198</v>
      </c>
      <c r="C78">
        <v>4999</v>
      </c>
      <c r="D78">
        <v>1</v>
      </c>
    </row>
    <row r="79" spans="1:4" x14ac:dyDescent="0.3">
      <c r="A79" t="s">
        <v>62</v>
      </c>
      <c r="B79" t="s">
        <v>198</v>
      </c>
      <c r="C79">
        <v>2999</v>
      </c>
      <c r="D79">
        <v>1</v>
      </c>
    </row>
    <row r="80" spans="1:4" x14ac:dyDescent="0.3">
      <c r="A80" t="s">
        <v>87</v>
      </c>
      <c r="B80" t="s">
        <v>198</v>
      </c>
      <c r="C80">
        <v>1999</v>
      </c>
      <c r="D80">
        <v>1</v>
      </c>
    </row>
    <row r="81" spans="1:4" x14ac:dyDescent="0.3">
      <c r="A81" t="s">
        <v>84</v>
      </c>
      <c r="B81" t="s">
        <v>198</v>
      </c>
      <c r="C81">
        <v>999</v>
      </c>
      <c r="D81">
        <v>1</v>
      </c>
    </row>
    <row r="82" spans="1:4" x14ac:dyDescent="0.3">
      <c r="A82" t="s">
        <v>76</v>
      </c>
      <c r="B82" t="s">
        <v>198</v>
      </c>
      <c r="C82">
        <v>1999</v>
      </c>
      <c r="D82">
        <v>1</v>
      </c>
    </row>
    <row r="83" spans="1:4" x14ac:dyDescent="0.3">
      <c r="A83" t="s">
        <v>58</v>
      </c>
      <c r="B83" t="s">
        <v>198</v>
      </c>
      <c r="C83">
        <v>1999</v>
      </c>
      <c r="D83">
        <v>1</v>
      </c>
    </row>
    <row r="84" spans="1:4" x14ac:dyDescent="0.3">
      <c r="A84" t="s">
        <v>46</v>
      </c>
      <c r="B84" t="s">
        <v>155</v>
      </c>
      <c r="C84">
        <v>299</v>
      </c>
      <c r="D84">
        <v>1</v>
      </c>
    </row>
    <row r="85" spans="1:4" x14ac:dyDescent="0.3">
      <c r="A85" t="s">
        <v>72</v>
      </c>
      <c r="B85" t="s">
        <v>155</v>
      </c>
      <c r="C85">
        <v>499</v>
      </c>
      <c r="D85">
        <v>1</v>
      </c>
    </row>
    <row r="86" spans="1:4" x14ac:dyDescent="0.3">
      <c r="A86" t="s">
        <v>30</v>
      </c>
      <c r="B86" t="s">
        <v>155</v>
      </c>
      <c r="C86">
        <v>399</v>
      </c>
      <c r="D86">
        <v>1</v>
      </c>
    </row>
    <row r="87" spans="1:4" x14ac:dyDescent="0.3">
      <c r="A87" t="s">
        <v>80</v>
      </c>
      <c r="B87" t="s">
        <v>155</v>
      </c>
      <c r="C87">
        <v>399</v>
      </c>
      <c r="D87">
        <v>1</v>
      </c>
    </row>
    <row r="88" spans="1:4" x14ac:dyDescent="0.3">
      <c r="A88" t="s">
        <v>25</v>
      </c>
      <c r="B88" t="s">
        <v>155</v>
      </c>
      <c r="C88">
        <v>299</v>
      </c>
      <c r="D88">
        <v>1</v>
      </c>
    </row>
    <row r="89" spans="1:4" x14ac:dyDescent="0.3">
      <c r="A89" t="s">
        <v>41</v>
      </c>
      <c r="B89" t="s">
        <v>155</v>
      </c>
      <c r="C89">
        <v>399</v>
      </c>
      <c r="D89">
        <v>1</v>
      </c>
    </row>
    <row r="90" spans="1:4" x14ac:dyDescent="0.3">
      <c r="A90" t="s">
        <v>39</v>
      </c>
      <c r="B90" t="s">
        <v>155</v>
      </c>
      <c r="C90">
        <v>299</v>
      </c>
      <c r="D90">
        <v>1</v>
      </c>
    </row>
    <row r="91" spans="1:4" x14ac:dyDescent="0.3">
      <c r="A91" t="s">
        <v>17</v>
      </c>
      <c r="B91" t="s">
        <v>155</v>
      </c>
      <c r="C91">
        <v>499</v>
      </c>
      <c r="D91">
        <v>1</v>
      </c>
    </row>
    <row r="92" spans="1:4" x14ac:dyDescent="0.3">
      <c r="A92" t="s">
        <v>91</v>
      </c>
      <c r="B92" t="s">
        <v>155</v>
      </c>
      <c r="C92">
        <v>399</v>
      </c>
      <c r="D92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4.4" x14ac:dyDescent="0.3"/>
  <cols>
    <col min="1" max="3" width="18" customWidth="1"/>
  </cols>
  <sheetData>
    <row r="1" spans="1:3" x14ac:dyDescent="0.3">
      <c r="A1" t="s">
        <v>0</v>
      </c>
      <c r="B1" t="s">
        <v>1519</v>
      </c>
      <c r="C1" t="s">
        <v>1520</v>
      </c>
    </row>
    <row r="2" spans="1:3" x14ac:dyDescent="0.3">
      <c r="A2" t="s">
        <v>4</v>
      </c>
      <c r="B2">
        <v>9</v>
      </c>
      <c r="C2">
        <v>7</v>
      </c>
    </row>
    <row r="3" spans="1:3" x14ac:dyDescent="0.3">
      <c r="A3" t="s">
        <v>8</v>
      </c>
      <c r="B3">
        <v>10</v>
      </c>
      <c r="C3">
        <v>9</v>
      </c>
    </row>
    <row r="4" spans="1:3" x14ac:dyDescent="0.3">
      <c r="A4" t="s">
        <v>12</v>
      </c>
      <c r="B4">
        <v>17</v>
      </c>
      <c r="C4">
        <v>13</v>
      </c>
    </row>
    <row r="5" spans="1:3" x14ac:dyDescent="0.3">
      <c r="A5" t="s">
        <v>15</v>
      </c>
      <c r="B5">
        <v>9</v>
      </c>
      <c r="C5">
        <v>7</v>
      </c>
    </row>
    <row r="6" spans="1:3" x14ac:dyDescent="0.3">
      <c r="A6" t="s">
        <v>17</v>
      </c>
      <c r="B6">
        <v>11</v>
      </c>
      <c r="C6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4" x14ac:dyDescent="0.3"/>
  <cols>
    <col min="1" max="1" width="18" customWidth="1"/>
  </cols>
  <sheetData>
    <row r="1" spans="1:1" x14ac:dyDescent="0.3">
      <c r="A1" t="s">
        <v>1521</v>
      </c>
    </row>
    <row r="2" spans="1:1" x14ac:dyDescent="0.3">
      <c r="A2" t="s">
        <v>1522</v>
      </c>
    </row>
    <row r="3" spans="1:1" x14ac:dyDescent="0.3">
      <c r="A3" t="s">
        <v>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merchants</vt:lpstr>
      <vt:lpstr>ledger</vt:lpstr>
      <vt:lpstr>transactions_view</vt:lpstr>
      <vt:lpstr>fee_lookup</vt:lpstr>
      <vt:lpstr>daily_totals</vt:lpstr>
      <vt:lpstr>pivot_summary</vt:lpstr>
      <vt:lpstr>count_vs_unique</vt:lpstr>
      <vt:lpstr>documentation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Namrata Bhore</dc:creator>
  <cp:keywords/>
  <dc:description/>
  <cp:lastModifiedBy>Namrata Bhore</cp:lastModifiedBy>
  <cp:revision/>
  <dcterms:created xsi:type="dcterms:W3CDTF">2026-08-21T09:28:37Z</dcterms:created>
  <dcterms:modified xsi:type="dcterms:W3CDTF">2026-08-22T06:08:16Z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2026-08-21T09:30:15Z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99de02cd-44ce-4b7a-8836-1efd78678255</vt:lpwstr>
  </property>
  <property fmtid="{D5CDD505-2E9C-101B-9397-08002B2CF9AE}" pid="8" name="MSIP_Label_3b623b29-abd1-4de3-a20c-27566d79b7c7_ContentBits">
    <vt:lpwstr>0</vt:lpwstr>
  </property>
  <property fmtid="{D5CDD505-2E9C-101B-9397-08002B2CF9AE}" pid="9" name="MSIP_Label_3b623b29-abd1-4de3-a20c-27566d79b7c7_Tag">
    <vt:lpwstr>10, 3, 0, 2</vt:lpwstr>
  </property>
</Properties>
</file>